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xample 1" sheetId="1" state="visible" r:id="rId3"/>
    <sheet name="Example 1 (Solution)" sheetId="2" state="hidden" r:id="rId4"/>
    <sheet name="Example 2" sheetId="3" state="visible" r:id="rId5"/>
    <sheet name="Example 2 (Solution)" sheetId="4" state="hidden" r:id="rId6"/>
    <sheet name="Example 3" sheetId="5" state="visible" r:id="rId7"/>
    <sheet name="Example 3 (Solution)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<sst xmlns="http://schemas.openxmlformats.org/spreadsheetml/2006/main" count="227" uniqueCount="52">
  <si>
    <t xml:space="preserve">Raw Data Extract</t>
  </si>
  <si>
    <t xml:space="preserve">Pay Report</t>
  </si>
  <si>
    <t xml:space="preserve">Employee ID</t>
  </si>
  <si>
    <t xml:space="preserve">Last Name</t>
  </si>
  <si>
    <t xml:space="preserve">First Name</t>
  </si>
  <si>
    <t xml:space="preserve">Pay</t>
  </si>
  <si>
    <t xml:space="preserve">Doe</t>
  </si>
  <si>
    <t xml:space="preserve">John</t>
  </si>
  <si>
    <t xml:space="preserve">Cline</t>
  </si>
  <si>
    <t xml:space="preserve">Andy</t>
  </si>
  <si>
    <t xml:space="preserve">Smith</t>
  </si>
  <si>
    <t xml:space="preserve">Pan</t>
  </si>
  <si>
    <t xml:space="preserve">Peter</t>
  </si>
  <si>
    <t xml:space="preserve">Favre</t>
  </si>
  <si>
    <t xml:space="preserve">Bret</t>
  </si>
  <si>
    <t xml:space="preserve">Elway</t>
  </si>
  <si>
    <t xml:space="preserve">Manning</t>
  </si>
  <si>
    <t xml:space="preserve">Eli</t>
  </si>
  <si>
    <t xml:space="preserve">Vick</t>
  </si>
  <si>
    <t xml:space="preserve">Micheal</t>
  </si>
  <si>
    <t xml:space="preserve">Woods</t>
  </si>
  <si>
    <t xml:space="preserve">Tiger</t>
  </si>
  <si>
    <t xml:space="preserve">Jordan</t>
  </si>
  <si>
    <t xml:space="preserve">Stark</t>
  </si>
  <si>
    <t xml:space="preserve">Tony</t>
  </si>
  <si>
    <t xml:space="preserve">Williams</t>
  </si>
  <si>
    <t xml:space="preserve">Prince</t>
  </si>
  <si>
    <t xml:space="preserve">Pitt</t>
  </si>
  <si>
    <t xml:space="preserve">Brad</t>
  </si>
  <si>
    <t xml:space="preserve">Find the First Name and last Name using Excel Functions</t>
  </si>
  <si>
    <t xml:space="preserve">Raw Data Extract #1</t>
  </si>
  <si>
    <t xml:space="preserve">City</t>
  </si>
  <si>
    <t xml:space="preserve">Find the Last Name and City using Excel Functions</t>
  </si>
  <si>
    <t xml:space="preserve">Raw Data Extract #2</t>
  </si>
  <si>
    <t xml:space="preserve">State</t>
  </si>
  <si>
    <t xml:space="preserve">Columbus</t>
  </si>
  <si>
    <t xml:space="preserve">Ohio</t>
  </si>
  <si>
    <t xml:space="preserve">Chicago</t>
  </si>
  <si>
    <t xml:space="preserve">Illnois</t>
  </si>
  <si>
    <t xml:space="preserve">Tampa Bay</t>
  </si>
  <si>
    <t xml:space="preserve">Florida</t>
  </si>
  <si>
    <t xml:space="preserve">Austin</t>
  </si>
  <si>
    <t xml:space="preserve">Texas</t>
  </si>
  <si>
    <t xml:space="preserve">Pay Band Table</t>
  </si>
  <si>
    <t xml:space="preserve">Pay Min</t>
  </si>
  <si>
    <t xml:space="preserve">Pay Band</t>
  </si>
  <si>
    <t xml:space="preserve">Level A</t>
  </si>
  <si>
    <t xml:space="preserve">Level B</t>
  </si>
  <si>
    <t xml:space="preserve">Level C</t>
  </si>
  <si>
    <t xml:space="preserve">Level D</t>
  </si>
  <si>
    <t xml:space="preserve">Find the Pay Band using Excel Functions </t>
  </si>
  <si>
    <t xml:space="preserve">Level 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</si>
</sst>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&quot;($&quot;#,##0\);\$0_)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14042"/>
      <name val="Calibri"/>
      <family val="2"/>
      <charset val="1"/>
    </font>
    <font>
      <b val="true"/>
      <sz val="16"/>
      <color rgb="FFF1BD62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</font>
    <font>
      <sz val="10"/>
      <color rgb="FF7F7F7F"/>
      <name val="Calibri"/>
      <family val="0"/>
    </font>
    <font>
      <b val="true"/>
      <sz val="10"/>
      <color rgb="FF7F7F7F"/>
      <name val="Calibri"/>
      <family val="0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14042"/>
      </bottom>
      <diagonal/>
    </border>
    <border diagonalUp="false" diagonalDown="false">
      <left/>
      <right/>
      <top/>
      <bottom style="medium">
        <color rgb="FFF1BD62"/>
      </bottom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219240</xdr:colOff>
      <xdr:row>17</xdr:row>
      <xdr:rowOff>133200</xdr:rowOff>
    </xdr:from>
    <xdr:to>
      <xdr:col>10</xdr:col>
      <xdr:colOff>47160</xdr:colOff>
      <xdr:row>21</xdr:row>
      <xdr:rowOff>8640</xdr:rowOff>
    </xdr:to>
    <xdr:sp>
      <xdr:nvSpPr>
        <xdr:cNvPr id="1" name="Speech Bubble: Rectangle with Corners Rounded 1"/>
        <xdr:cNvSpPr/>
      </xdr:nvSpPr>
      <xdr:spPr>
        <a:xfrm>
          <a:off x="5413680" y="3278880"/>
          <a:ext cx="2405160" cy="6685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rgbClr val="FFF2CC"/>
        </a:solidFill>
        <a:ln w="12700">
          <a:solidFill>
            <a:srgbClr val="FFC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7F7F7F"/>
              </a:solidFill>
              <a:effectLst/>
              <a:uFillTx/>
              <a:latin typeface="Calibri"/>
            </a:rPr>
            <a:t>Use VLOOKUP formulas to bring in the last name and city of employees in the </a:t>
          </a:r>
          <a:r>
            <a:rPr lang="en-US" sz="1000" b="1" u="none" strike="noStrike">
              <a:solidFill>
                <a:srgbClr val="7F7F7F"/>
              </a:solidFill>
              <a:effectLst/>
              <a:uFillTx/>
              <a:latin typeface="Calibri"/>
            </a:rPr>
            <a:t>Raw Data Extract</a:t>
          </a:r>
          <a:r>
            <a:rPr lang="en-US" sz="1000" b="0" u="none" strike="noStrike">
              <a:solidFill>
                <a:srgbClr val="7F7F7F"/>
              </a:solidFill>
              <a:effectLst/>
              <a:uFillTx/>
              <a:latin typeface="Calibri"/>
            </a:rPr>
            <a:t> sections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504720</xdr:colOff>
      <xdr:row>17</xdr:row>
      <xdr:rowOff>85680</xdr:rowOff>
    </xdr:from>
    <xdr:to>
      <xdr:col>9</xdr:col>
      <xdr:colOff>199080</xdr:colOff>
      <xdr:row>20</xdr:row>
      <xdr:rowOff>151560</xdr:rowOff>
    </xdr:to>
    <xdr:sp>
      <xdr:nvSpPr>
        <xdr:cNvPr id="2" name="Speech Bubble: Rectangle with Corners Rounded 1"/>
        <xdr:cNvSpPr/>
      </xdr:nvSpPr>
      <xdr:spPr>
        <a:xfrm>
          <a:off x="4501440" y="3231360"/>
          <a:ext cx="2623680" cy="60876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rgbClr val="FFF2CC"/>
        </a:solidFill>
        <a:ln w="12700">
          <a:solidFill>
            <a:srgbClr val="FFC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7F7F7F"/>
              </a:solidFill>
              <a:effectLst/>
              <a:uFillTx/>
              <a:latin typeface="Calibri"/>
            </a:rPr>
            <a:t>Use VLOOKUP's approximate match to bring in the pay band label for the Pay range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K16" activeCellId="0" sqref="K16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0.14"/>
    <col collapsed="false" customWidth="true" hidden="false" outlineLevel="0" max="3" min="3" style="0" width="10.57"/>
    <col collapsed="false" customWidth="true" hidden="false" outlineLevel="0" max="5" min="5" style="0" width="36.57"/>
    <col collapsed="false" customWidth="true" hidden="false" outlineLevel="0" max="6" min="6" style="0" width="13"/>
    <col collapsed="false" customWidth="true" hidden="false" outlineLevel="0" max="7" min="7" style="0" width="10.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F1" s="2" t="s">
        <v>1</v>
      </c>
      <c r="G1" s="2"/>
      <c r="H1" s="2"/>
      <c r="I1" s="2"/>
    </row>
    <row r="3" customFormat="false" ht="14.25" hidden="false" customHeight="false" outlineLevel="0" collapsed="false">
      <c r="A3" s="3" t="s">
        <v>2</v>
      </c>
      <c r="B3" s="4" t="s">
        <v>3</v>
      </c>
      <c r="C3" s="5" t="s">
        <v>4</v>
      </c>
      <c r="F3" s="6" t="s">
        <v>2</v>
      </c>
      <c r="G3" s="7" t="s">
        <v>5</v>
      </c>
      <c r="H3" s="7" t="s">
        <v>4</v>
      </c>
      <c r="I3" s="8" t="s">
        <v>3</v>
      </c>
    </row>
    <row r="4" customFormat="false" ht="14.25" hidden="false" customHeight="false" outlineLevel="0" collapsed="false">
      <c r="A4" s="0" t="n">
        <v>110608</v>
      </c>
      <c r="B4" s="0" t="s">
        <v>6</v>
      </c>
      <c r="C4" s="0" t="s">
        <v>7</v>
      </c>
      <c r="F4" s="0" t="n">
        <v>990678</v>
      </c>
      <c r="G4" s="9" t="n">
        <v>84289</v>
      </c>
      <c r="H4" s="10" t="str">
        <f aca="false">_xlfn.XLOOKUP(TRIM(F4),TRIM($A$4:$A$16),$C$4:$C$16)</f>
        <v>Brad</v>
      </c>
      <c r="I4" s="10" t="str">
        <f aca="false">_xlfn.XLOOKUP(H4,$C$4:$C$16,$B$4:$B$16)</f>
        <v>Pitt</v>
      </c>
    </row>
    <row r="5" customFormat="false" ht="14.25" hidden="false" customHeight="false" outlineLevel="0" collapsed="false">
      <c r="A5" s="0" t="n">
        <v>253072</v>
      </c>
      <c r="B5" s="0" t="s">
        <v>8</v>
      </c>
      <c r="C5" s="0" t="s">
        <v>9</v>
      </c>
      <c r="F5" s="0" t="n">
        <v>830385</v>
      </c>
      <c r="G5" s="9" t="n">
        <v>137670</v>
      </c>
      <c r="H5" s="10" t="str">
        <f aca="false">_xlfn.XLOOKUP(TRIM(F5),TRIM($A$4:$A$16),$C$4:$C$16)</f>
        <v>Prince</v>
      </c>
      <c r="I5" s="10" t="str">
        <f aca="false">_xlfn.XLOOKUP(H5,$C$4:$C$16,$B$4:$B$16)</f>
        <v>Williams</v>
      </c>
    </row>
    <row r="6" customFormat="false" ht="14.25" hidden="false" customHeight="false" outlineLevel="0" collapsed="false">
      <c r="A6" s="0" t="n">
        <v>352711</v>
      </c>
      <c r="B6" s="0" t="s">
        <v>10</v>
      </c>
      <c r="C6" s="0" t="s">
        <v>7</v>
      </c>
      <c r="F6" s="0" t="n">
        <v>795574</v>
      </c>
      <c r="G6" s="9" t="n">
        <v>190024</v>
      </c>
      <c r="H6" s="10" t="str">
        <f aca="false">_xlfn.XLOOKUP(TRIM(F6),TRIM($A$4:$A$16),$C$4:$C$16)</f>
        <v>Tony</v>
      </c>
      <c r="I6" s="10" t="str">
        <f aca="false">_xlfn.XLOOKUP(H6,$C$4:$C$16,$B$4:$B$16)</f>
        <v>Stark</v>
      </c>
    </row>
    <row r="7" customFormat="false" ht="14.25" hidden="false" customHeight="false" outlineLevel="0" collapsed="false">
      <c r="A7" s="0" t="n">
        <v>391006</v>
      </c>
      <c r="B7" s="0" t="s">
        <v>11</v>
      </c>
      <c r="C7" s="0" t="s">
        <v>12</v>
      </c>
      <c r="F7" s="0" t="n">
        <v>580622</v>
      </c>
      <c r="G7" s="9" t="n">
        <v>122604</v>
      </c>
      <c r="H7" s="10" t="str">
        <f aca="false">_xlfn.XLOOKUP(TRIM(F7),TRIM($A$4:$A$16),$C$4:$C$16)</f>
        <v>Eli</v>
      </c>
      <c r="I7" s="10" t="str">
        <f aca="false">_xlfn.XLOOKUP(H7,$C$4:$C$16,$B$4:$B$16)</f>
        <v>Manning</v>
      </c>
    </row>
    <row r="8" customFormat="false" ht="14.25" hidden="false" customHeight="false" outlineLevel="0" collapsed="false">
      <c r="A8" s="0" t="n">
        <v>392128</v>
      </c>
      <c r="B8" s="0" t="s">
        <v>13</v>
      </c>
      <c r="C8" s="0" t="s">
        <v>14</v>
      </c>
      <c r="F8" s="0" t="n">
        <v>549457</v>
      </c>
      <c r="G8" s="9" t="n">
        <v>111709</v>
      </c>
      <c r="H8" s="10" t="str">
        <f aca="false">_xlfn.XLOOKUP(TRIM(F8),TRIM($A$4:$A$16),$C$4:$C$16)</f>
        <v>John</v>
      </c>
      <c r="I8" s="10" t="str">
        <f aca="false">_xlfn.XLOOKUP(H8,$C$4:$C$16,$B$4:$B$16)</f>
        <v>Doe</v>
      </c>
    </row>
    <row r="9" customFormat="false" ht="14.25" hidden="false" customHeight="false" outlineLevel="0" collapsed="false">
      <c r="A9" s="0" t="n">
        <v>549457</v>
      </c>
      <c r="B9" s="0" t="s">
        <v>15</v>
      </c>
      <c r="C9" s="0" t="s">
        <v>7</v>
      </c>
      <c r="F9" s="0" t="n">
        <v>392128</v>
      </c>
      <c r="G9" s="9" t="n">
        <v>85931</v>
      </c>
      <c r="H9" s="10" t="str">
        <f aca="false">_xlfn.XLOOKUP(TRIM(F9),TRIM($A$4:$A$16),$C$4:$C$16)</f>
        <v>Bret</v>
      </c>
      <c r="I9" s="10" t="str">
        <f aca="false">_xlfn.XLOOKUP(H9,$C$4:$C$16,$B$4:$B$16)</f>
        <v>Favre</v>
      </c>
    </row>
    <row r="10" customFormat="false" ht="14.25" hidden="false" customHeight="false" outlineLevel="0" collapsed="false">
      <c r="A10" s="0" t="n">
        <v>580622</v>
      </c>
      <c r="B10" s="0" t="s">
        <v>16</v>
      </c>
      <c r="C10" s="0" t="s">
        <v>17</v>
      </c>
      <c r="F10" s="0" t="n">
        <v>391006</v>
      </c>
      <c r="G10" s="9" t="n">
        <v>168114</v>
      </c>
      <c r="H10" s="10" t="str">
        <f aca="false">_xlfn.XLOOKUP(TRIM(F10),TRIM($A$4:$A$16),$C$4:$C$16)</f>
        <v>Peter</v>
      </c>
      <c r="I10" s="10" t="str">
        <f aca="false">_xlfn.XLOOKUP(H10,$C$4:$C$16,$B$4:$B$16)</f>
        <v>Pan</v>
      </c>
    </row>
    <row r="11" customFormat="false" ht="14.25" hidden="false" customHeight="false" outlineLevel="0" collapsed="false">
      <c r="A11" s="0" t="n">
        <v>602693</v>
      </c>
      <c r="B11" s="0" t="s">
        <v>18</v>
      </c>
      <c r="C11" s="0" t="s">
        <v>19</v>
      </c>
      <c r="F11" s="0" t="n">
        <v>352711</v>
      </c>
      <c r="G11" s="9" t="n">
        <v>89627</v>
      </c>
      <c r="H11" s="10" t="str">
        <f aca="false">_xlfn.XLOOKUP(TRIM(F11),TRIM($A$4:$A$16),$C$4:$C$16)</f>
        <v>John</v>
      </c>
      <c r="I11" s="10" t="str">
        <f aca="false">_xlfn.XLOOKUP(H11,$C$4:$C$16,$B$4:$B$16)</f>
        <v>Doe</v>
      </c>
    </row>
    <row r="12" customFormat="false" ht="14.25" hidden="false" customHeight="false" outlineLevel="0" collapsed="false">
      <c r="A12" s="0" t="n">
        <v>611810</v>
      </c>
      <c r="B12" s="0" t="s">
        <v>20</v>
      </c>
      <c r="C12" s="0" t="s">
        <v>21</v>
      </c>
      <c r="F12" s="0" t="n">
        <v>253072</v>
      </c>
      <c r="G12" s="9" t="n">
        <v>149946</v>
      </c>
      <c r="H12" s="10" t="str">
        <f aca="false">_xlfn.XLOOKUP(TRIM(F12),TRIM($A$4:$A$16),$C$4:$C$16)</f>
        <v>Andy</v>
      </c>
      <c r="I12" s="10" t="str">
        <f aca="false">_xlfn.XLOOKUP(H12,$C$4:$C$16,$B$4:$B$16)</f>
        <v>Cline</v>
      </c>
    </row>
    <row r="13" customFormat="false" ht="14.25" hidden="false" customHeight="false" outlineLevel="0" collapsed="false">
      <c r="A13" s="0" t="n">
        <v>612235</v>
      </c>
      <c r="B13" s="0" t="s">
        <v>22</v>
      </c>
      <c r="C13" s="0" t="s">
        <v>19</v>
      </c>
      <c r="F13" s="0" t="n">
        <v>612235</v>
      </c>
      <c r="G13" s="9" t="n">
        <v>145893</v>
      </c>
      <c r="H13" s="10" t="str">
        <f aca="false">_xlfn.XLOOKUP(TRIM(F13),TRIM($A$4:$A$16),$C$4:$C$16)</f>
        <v>Micheal</v>
      </c>
      <c r="I13" s="10" t="str">
        <f aca="false">_xlfn.XLOOKUP(H13,$C$4:$C$16,$B$4:$B$16)</f>
        <v>Vick</v>
      </c>
    </row>
    <row r="14" customFormat="false" ht="14.25" hidden="false" customHeight="false" outlineLevel="0" collapsed="false">
      <c r="A14" s="0" t="n">
        <v>795574</v>
      </c>
      <c r="B14" s="0" t="s">
        <v>23</v>
      </c>
      <c r="C14" s="0" t="s">
        <v>24</v>
      </c>
      <c r="F14" s="0" t="n">
        <v>611810</v>
      </c>
      <c r="G14" s="9" t="n">
        <v>64757</v>
      </c>
      <c r="H14" s="10" t="str">
        <f aca="false">_xlfn.XLOOKUP(TRIM(F14),TRIM($A$4:$A$16),$C$4:$C$16)</f>
        <v>Tiger</v>
      </c>
      <c r="I14" s="10" t="str">
        <f aca="false">_xlfn.XLOOKUP(H14,$C$4:$C$16,$B$4:$B$16)</f>
        <v>Woods</v>
      </c>
    </row>
    <row r="15" customFormat="false" ht="14.25" hidden="false" customHeight="false" outlineLevel="0" collapsed="false">
      <c r="A15" s="0" t="n">
        <v>830385</v>
      </c>
      <c r="B15" s="0" t="s">
        <v>25</v>
      </c>
      <c r="C15" s="0" t="s">
        <v>26</v>
      </c>
      <c r="F15" s="0" t="n">
        <v>602693</v>
      </c>
      <c r="G15" s="9" t="n">
        <v>71478</v>
      </c>
      <c r="H15" s="10" t="str">
        <f aca="false">_xlfn.XLOOKUP(TRIM(F15),TRIM($A$4:$A$16),$C$4:$C$16)</f>
        <v>Micheal</v>
      </c>
      <c r="I15" s="10" t="str">
        <f aca="false">_xlfn.XLOOKUP(H15,$C$4:$C$16,$B$4:$B$16)</f>
        <v>Vick</v>
      </c>
    </row>
    <row r="16" customFormat="false" ht="14.25" hidden="false" customHeight="false" outlineLevel="0" collapsed="false">
      <c r="A16" s="0" t="n">
        <v>990678</v>
      </c>
      <c r="B16" s="0" t="s">
        <v>27</v>
      </c>
      <c r="C16" s="0" t="s">
        <v>28</v>
      </c>
      <c r="F16" s="0" t="n">
        <v>110608</v>
      </c>
      <c r="G16" s="9" t="n">
        <v>131505</v>
      </c>
      <c r="H16" s="10" t="str">
        <f aca="false">_xlfn.XLOOKUP(TRIM(F16),TRIM($A$4:$A$16),$C$4:$C$16)</f>
        <v>John</v>
      </c>
      <c r="I16" s="10" t="str">
        <f aca="false">_xlfn.XLOOKUP(H16,$C$4:$C$16,$B$4:$B$16)</f>
        <v>Doe</v>
      </c>
    </row>
    <row r="20" customFormat="false" ht="24.05" hidden="false" customHeight="false" outlineLevel="0" collapsed="false">
      <c r="E20" s="11" t="s">
        <v>29</v>
      </c>
    </row>
  </sheetData>
  <mergeCells count="2">
    <mergeCell ref="A1:C1"/>
    <mergeCell ref="F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8" activeCellId="0" sqref="B28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0.14"/>
    <col collapsed="false" customWidth="true" hidden="false" outlineLevel="0" max="3" min="3" style="0" width="10.57"/>
    <col collapsed="false" customWidth="true" hidden="false" outlineLevel="0" max="6" min="6" style="0" width="13"/>
    <col collapsed="false" customWidth="true" hidden="false" outlineLevel="0" max="7" min="7" style="0" width="10.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F1" s="2" t="s">
        <v>1</v>
      </c>
      <c r="G1" s="2"/>
      <c r="H1" s="2"/>
      <c r="I1" s="2"/>
    </row>
    <row r="3" customFormat="false" ht="14.25" hidden="false" customHeight="false" outlineLevel="0" collapsed="false">
      <c r="A3" s="3" t="s">
        <v>2</v>
      </c>
      <c r="B3" s="4" t="s">
        <v>3</v>
      </c>
      <c r="C3" s="5" t="s">
        <v>4</v>
      </c>
      <c r="F3" s="6" t="s">
        <v>2</v>
      </c>
      <c r="G3" s="7" t="s">
        <v>5</v>
      </c>
      <c r="H3" s="7" t="s">
        <v>4</v>
      </c>
      <c r="I3" s="8" t="s">
        <v>3</v>
      </c>
    </row>
    <row r="4" customFormat="false" ht="14.25" hidden="false" customHeight="false" outlineLevel="0" collapsed="false">
      <c r="A4" s="0" t="n">
        <v>110608</v>
      </c>
      <c r="B4" s="0" t="s">
        <v>6</v>
      </c>
      <c r="C4" s="0" t="s">
        <v>7</v>
      </c>
      <c r="F4" s="0" t="n">
        <v>990678</v>
      </c>
      <c r="G4" s="9" t="n">
        <v>84289</v>
      </c>
      <c r="H4" s="10" t="str">
        <f aca="false">VLOOKUP($F4,$A$3:$C$16,3,FALSE())</f>
        <v>Brad</v>
      </c>
      <c r="I4" s="10" t="str">
        <f aca="false">VLOOKUP($F4,$A$3:$C$16,2,FALSE())</f>
        <v>Pitt</v>
      </c>
    </row>
    <row r="5" customFormat="false" ht="14.25" hidden="false" customHeight="false" outlineLevel="0" collapsed="false">
      <c r="A5" s="0" t="n">
        <v>253072</v>
      </c>
      <c r="B5" s="0" t="s">
        <v>8</v>
      </c>
      <c r="C5" s="0" t="s">
        <v>9</v>
      </c>
      <c r="F5" s="0" t="n">
        <v>830385</v>
      </c>
      <c r="G5" s="9" t="n">
        <v>137670</v>
      </c>
      <c r="H5" s="10" t="str">
        <f aca="false">VLOOKUP($F5,$A$3:$C$16,3,FALSE())</f>
        <v>Prince</v>
      </c>
      <c r="I5" s="10" t="str">
        <f aca="false">VLOOKUP($F5,$A$3:$C$16,2,FALSE())</f>
        <v>Williams</v>
      </c>
    </row>
    <row r="6" customFormat="false" ht="14.25" hidden="false" customHeight="false" outlineLevel="0" collapsed="false">
      <c r="A6" s="0" t="n">
        <v>352711</v>
      </c>
      <c r="B6" s="0" t="s">
        <v>10</v>
      </c>
      <c r="C6" s="0" t="s">
        <v>7</v>
      </c>
      <c r="F6" s="0" t="n">
        <v>795574</v>
      </c>
      <c r="G6" s="9" t="n">
        <v>190024</v>
      </c>
      <c r="H6" s="10" t="str">
        <f aca="false">VLOOKUP($F6,$A$3:$C$16,3,FALSE())</f>
        <v>Tony</v>
      </c>
      <c r="I6" s="10" t="str">
        <f aca="false">VLOOKUP($F6,$A$3:$C$16,2,FALSE())</f>
        <v>Stark</v>
      </c>
    </row>
    <row r="7" customFormat="false" ht="14.25" hidden="false" customHeight="false" outlineLevel="0" collapsed="false">
      <c r="A7" s="0" t="n">
        <v>391006</v>
      </c>
      <c r="B7" s="0" t="s">
        <v>11</v>
      </c>
      <c r="C7" s="0" t="s">
        <v>12</v>
      </c>
      <c r="F7" s="0" t="n">
        <v>580622</v>
      </c>
      <c r="G7" s="9" t="n">
        <v>122604</v>
      </c>
      <c r="H7" s="10" t="str">
        <f aca="false">VLOOKUP($F7,$A$3:$C$16,3,FALSE())</f>
        <v>Eli</v>
      </c>
      <c r="I7" s="10" t="str">
        <f aca="false">VLOOKUP($F7,$A$3:$C$16,2,FALSE())</f>
        <v>Manning</v>
      </c>
    </row>
    <row r="8" customFormat="false" ht="14.25" hidden="false" customHeight="false" outlineLevel="0" collapsed="false">
      <c r="A8" s="0" t="n">
        <v>392128</v>
      </c>
      <c r="B8" s="0" t="s">
        <v>13</v>
      </c>
      <c r="C8" s="0" t="s">
        <v>14</v>
      </c>
      <c r="F8" s="0" t="n">
        <v>549457</v>
      </c>
      <c r="G8" s="9" t="n">
        <v>111709</v>
      </c>
      <c r="H8" s="10" t="str">
        <f aca="false">VLOOKUP($F8,$A$3:$C$16,3,FALSE())</f>
        <v>John</v>
      </c>
      <c r="I8" s="10" t="str">
        <f aca="false">VLOOKUP($F8,$A$3:$C$16,2,FALSE())</f>
        <v>Elway</v>
      </c>
    </row>
    <row r="9" customFormat="false" ht="14.25" hidden="false" customHeight="false" outlineLevel="0" collapsed="false">
      <c r="A9" s="0" t="n">
        <v>549457</v>
      </c>
      <c r="B9" s="0" t="s">
        <v>15</v>
      </c>
      <c r="C9" s="0" t="s">
        <v>7</v>
      </c>
      <c r="F9" s="0" t="n">
        <v>392128</v>
      </c>
      <c r="G9" s="9" t="n">
        <v>85931</v>
      </c>
      <c r="H9" s="10" t="str">
        <f aca="false">VLOOKUP($F9,$A$3:$C$16,3,FALSE())</f>
        <v>Bret</v>
      </c>
      <c r="I9" s="10" t="str">
        <f aca="false">VLOOKUP($F9,$A$3:$C$16,2,FALSE())</f>
        <v>Favre</v>
      </c>
    </row>
    <row r="10" customFormat="false" ht="14.25" hidden="false" customHeight="false" outlineLevel="0" collapsed="false">
      <c r="A10" s="0" t="n">
        <v>580622</v>
      </c>
      <c r="B10" s="0" t="s">
        <v>16</v>
      </c>
      <c r="C10" s="0" t="s">
        <v>17</v>
      </c>
      <c r="F10" s="0" t="n">
        <v>391006</v>
      </c>
      <c r="G10" s="9" t="n">
        <v>168114</v>
      </c>
      <c r="H10" s="10" t="str">
        <f aca="false">VLOOKUP($F10,$A$3:$C$16,3,FALSE())</f>
        <v>Peter</v>
      </c>
      <c r="I10" s="10" t="str">
        <f aca="false">VLOOKUP($F10,$A$3:$C$16,2,FALSE())</f>
        <v>Pan</v>
      </c>
    </row>
    <row r="11" customFormat="false" ht="14.25" hidden="false" customHeight="false" outlineLevel="0" collapsed="false">
      <c r="A11" s="0" t="n">
        <v>602693</v>
      </c>
      <c r="B11" s="0" t="s">
        <v>18</v>
      </c>
      <c r="C11" s="0" t="s">
        <v>19</v>
      </c>
      <c r="F11" s="0" t="n">
        <v>352711</v>
      </c>
      <c r="G11" s="9" t="n">
        <v>89627</v>
      </c>
      <c r="H11" s="10" t="str">
        <f aca="false">VLOOKUP($F11,$A$3:$C$16,3,FALSE())</f>
        <v>John</v>
      </c>
      <c r="I11" s="10" t="str">
        <f aca="false">VLOOKUP($F11,$A$3:$C$16,2,FALSE())</f>
        <v>Smith</v>
      </c>
    </row>
    <row r="12" customFormat="false" ht="14.25" hidden="false" customHeight="false" outlineLevel="0" collapsed="false">
      <c r="A12" s="0" t="n">
        <v>611810</v>
      </c>
      <c r="B12" s="0" t="s">
        <v>20</v>
      </c>
      <c r="C12" s="0" t="s">
        <v>21</v>
      </c>
      <c r="F12" s="0" t="n">
        <v>253072</v>
      </c>
      <c r="G12" s="9" t="n">
        <v>149946</v>
      </c>
      <c r="H12" s="10" t="str">
        <f aca="false">VLOOKUP($F12,$A$3:$C$16,3,FALSE())</f>
        <v>Andy</v>
      </c>
      <c r="I12" s="10" t="str">
        <f aca="false">VLOOKUP($F12,$A$3:$C$16,2,FALSE())</f>
        <v>Cline</v>
      </c>
    </row>
    <row r="13" customFormat="false" ht="14.25" hidden="false" customHeight="false" outlineLevel="0" collapsed="false">
      <c r="A13" s="0" t="n">
        <v>612235</v>
      </c>
      <c r="B13" s="0" t="s">
        <v>22</v>
      </c>
      <c r="C13" s="0" t="s">
        <v>19</v>
      </c>
      <c r="F13" s="0" t="n">
        <v>612235</v>
      </c>
      <c r="G13" s="9" t="n">
        <v>145893</v>
      </c>
      <c r="H13" s="10" t="str">
        <f aca="false">VLOOKUP($F13,$A$3:$C$16,3,FALSE())</f>
        <v>Micheal</v>
      </c>
      <c r="I13" s="10" t="str">
        <f aca="false">VLOOKUP($F13,$A$3:$C$16,2,FALSE())</f>
        <v>Jordan</v>
      </c>
    </row>
    <row r="14" customFormat="false" ht="14.25" hidden="false" customHeight="false" outlineLevel="0" collapsed="false">
      <c r="A14" s="0" t="n">
        <v>795574</v>
      </c>
      <c r="B14" s="0" t="s">
        <v>23</v>
      </c>
      <c r="C14" s="0" t="s">
        <v>24</v>
      </c>
      <c r="F14" s="0" t="n">
        <v>611810</v>
      </c>
      <c r="G14" s="9" t="n">
        <v>64757</v>
      </c>
      <c r="H14" s="10" t="str">
        <f aca="false">VLOOKUP($F14,$A$3:$C$16,3,FALSE())</f>
        <v>Tiger</v>
      </c>
      <c r="I14" s="10" t="str">
        <f aca="false">VLOOKUP($F14,$A$3:$C$16,2,FALSE())</f>
        <v>Woods</v>
      </c>
    </row>
    <row r="15" customFormat="false" ht="14.25" hidden="false" customHeight="false" outlineLevel="0" collapsed="false">
      <c r="A15" s="0" t="n">
        <v>830385</v>
      </c>
      <c r="B15" s="0" t="s">
        <v>25</v>
      </c>
      <c r="C15" s="0" t="s">
        <v>26</v>
      </c>
      <c r="F15" s="0" t="n">
        <v>602693</v>
      </c>
      <c r="G15" s="9" t="n">
        <v>71478</v>
      </c>
      <c r="H15" s="10" t="str">
        <f aca="false">VLOOKUP($F15,$A$3:$C$16,3,FALSE())</f>
        <v>Micheal</v>
      </c>
      <c r="I15" s="10" t="str">
        <f aca="false">VLOOKUP($F15,$A$3:$C$16,2,FALSE())</f>
        <v>Vick</v>
      </c>
    </row>
    <row r="16" customFormat="false" ht="14.25" hidden="false" customHeight="false" outlineLevel="0" collapsed="false">
      <c r="A16" s="0" t="n">
        <v>990678</v>
      </c>
      <c r="B16" s="0" t="s">
        <v>27</v>
      </c>
      <c r="C16" s="0" t="s">
        <v>28</v>
      </c>
      <c r="F16" s="0" t="n">
        <v>110608</v>
      </c>
      <c r="G16" s="9" t="n">
        <v>131505</v>
      </c>
      <c r="H16" s="10" t="str">
        <f aca="false">VLOOKUP($F16,$A$3:$C$16,3,FALSE())</f>
        <v>John</v>
      </c>
      <c r="I16" s="10" t="str">
        <f aca="false">VLOOKUP($F16,$A$3:$C$16,2,FALSE())</f>
        <v>Doe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/>
  <mergeCells count="2">
    <mergeCell ref="A1:C1"/>
    <mergeCell ref="F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17" activeCellId="0" sqref="K17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0.42"/>
    <col collapsed="false" customWidth="true" hidden="false" outlineLevel="0" max="3" min="3" style="0" width="10.57"/>
    <col collapsed="false" customWidth="true" hidden="false" outlineLevel="0" max="6" min="6" style="0" width="13"/>
    <col collapsed="false" customWidth="true" hidden="false" outlineLevel="0" max="7" min="7" style="0" width="10.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30</v>
      </c>
      <c r="B1" s="1"/>
      <c r="C1" s="1"/>
      <c r="F1" s="2" t="s">
        <v>1</v>
      </c>
      <c r="G1" s="2"/>
      <c r="H1" s="2"/>
      <c r="I1" s="2"/>
    </row>
    <row r="3" customFormat="false" ht="14.25" hidden="false" customHeight="false" outlineLevel="0" collapsed="false">
      <c r="A3" s="3" t="s">
        <v>2</v>
      </c>
      <c r="B3" s="4" t="s">
        <v>3</v>
      </c>
      <c r="C3" s="5" t="s">
        <v>4</v>
      </c>
      <c r="F3" s="6" t="s">
        <v>2</v>
      </c>
      <c r="G3" s="7" t="s">
        <v>5</v>
      </c>
      <c r="H3" s="7" t="s">
        <v>3</v>
      </c>
      <c r="I3" s="8" t="s">
        <v>31</v>
      </c>
    </row>
    <row r="4" customFormat="false" ht="14.25" hidden="false" customHeight="false" outlineLevel="0" collapsed="false">
      <c r="A4" s="0" t="n">
        <v>110608</v>
      </c>
      <c r="B4" s="0" t="s">
        <v>6</v>
      </c>
      <c r="C4" s="0" t="s">
        <v>7</v>
      </c>
      <c r="F4" s="0" t="n">
        <v>990678</v>
      </c>
      <c r="G4" s="9" t="n">
        <v>84289</v>
      </c>
      <c r="H4" s="10" t="str">
        <f aca="false">_xlfn.XLOOKUP(F4,$A$4:$A$16,$B$4:$B$16)</f>
        <v>Pitt</v>
      </c>
      <c r="I4" s="12" t="str">
        <f aca="false">_xlfn.XLOOKUP(F4,$A$24:$A$36,$B$24:$B$36)</f>
        <v>Austin</v>
      </c>
    </row>
    <row r="5" customFormat="false" ht="14.25" hidden="false" customHeight="false" outlineLevel="0" collapsed="false">
      <c r="A5" s="0" t="n">
        <v>253072</v>
      </c>
      <c r="B5" s="0" t="s">
        <v>8</v>
      </c>
      <c r="C5" s="0" t="s">
        <v>9</v>
      </c>
      <c r="F5" s="0" t="n">
        <v>830385</v>
      </c>
      <c r="G5" s="9" t="n">
        <v>137670</v>
      </c>
      <c r="H5" s="10" t="str">
        <f aca="false">_xlfn.XLOOKUP(F5,$A$4:$A$16,$B$4:$B$16)</f>
        <v>Williams</v>
      </c>
      <c r="I5" s="12" t="str">
        <f aca="false">_xlfn.XLOOKUP(F5,$A$24:$A$36,$B$24:$B$36)</f>
        <v>Chicago</v>
      </c>
    </row>
    <row r="6" customFormat="false" ht="14.25" hidden="false" customHeight="false" outlineLevel="0" collapsed="false">
      <c r="A6" s="0" t="n">
        <v>352711</v>
      </c>
      <c r="B6" s="0" t="s">
        <v>10</v>
      </c>
      <c r="C6" s="0" t="s">
        <v>7</v>
      </c>
      <c r="F6" s="0" t="n">
        <v>795574</v>
      </c>
      <c r="G6" s="9" t="n">
        <v>190024</v>
      </c>
      <c r="H6" s="10" t="str">
        <f aca="false">_xlfn.XLOOKUP(F6,$A$4:$A$16,$B$4:$B$16)</f>
        <v>Stark</v>
      </c>
      <c r="I6" s="12" t="str">
        <f aca="false">_xlfn.XLOOKUP(F6,$A$24:$A$36,$B$24:$B$36)</f>
        <v>Austin</v>
      </c>
    </row>
    <row r="7" customFormat="false" ht="14.25" hidden="false" customHeight="false" outlineLevel="0" collapsed="false">
      <c r="A7" s="0" t="n">
        <v>391006</v>
      </c>
      <c r="B7" s="0" t="s">
        <v>11</v>
      </c>
      <c r="C7" s="0" t="s">
        <v>12</v>
      </c>
      <c r="F7" s="0" t="n">
        <v>580622</v>
      </c>
      <c r="G7" s="9" t="n">
        <v>122604</v>
      </c>
      <c r="H7" s="10" t="str">
        <f aca="false">_xlfn.XLOOKUP(F7,$A$4:$A$16,$B$4:$B$16)</f>
        <v>Manning</v>
      </c>
      <c r="I7" s="12" t="str">
        <f aca="false">_xlfn.XLOOKUP(F7,$A$24:$A$36,$B$24:$B$36)</f>
        <v>Columbus</v>
      </c>
      <c r="M7" s="0" t="s">
        <v>32</v>
      </c>
    </row>
    <row r="8" customFormat="false" ht="14.25" hidden="false" customHeight="false" outlineLevel="0" collapsed="false">
      <c r="A8" s="0" t="n">
        <v>392128</v>
      </c>
      <c r="B8" s="0" t="s">
        <v>13</v>
      </c>
      <c r="C8" s="0" t="s">
        <v>14</v>
      </c>
      <c r="F8" s="0" t="n">
        <v>549457</v>
      </c>
      <c r="G8" s="9" t="n">
        <v>111709</v>
      </c>
      <c r="H8" s="10" t="str">
        <f aca="false">_xlfn.XLOOKUP(F8,$A$4:$A$16,$B$4:$B$16)</f>
        <v>Elway</v>
      </c>
      <c r="I8" s="12" t="str">
        <f aca="false">_xlfn.XLOOKUP(F8,$A$24:$A$36,$B$24:$B$36)</f>
        <v>Tampa Bay</v>
      </c>
    </row>
    <row r="9" customFormat="false" ht="14.25" hidden="false" customHeight="false" outlineLevel="0" collapsed="false">
      <c r="A9" s="0" t="n">
        <v>549457</v>
      </c>
      <c r="B9" s="0" t="s">
        <v>15</v>
      </c>
      <c r="C9" s="0" t="s">
        <v>7</v>
      </c>
      <c r="F9" s="0" t="n">
        <v>392128</v>
      </c>
      <c r="G9" s="9" t="n">
        <v>85931</v>
      </c>
      <c r="H9" s="10" t="str">
        <f aca="false">_xlfn.XLOOKUP(F9,$A$4:$A$16,$B$4:$B$16)</f>
        <v>Favre</v>
      </c>
      <c r="I9" s="12" t="str">
        <f aca="false">_xlfn.XLOOKUP(F9,$A$24:$A$36,$B$24:$B$36)</f>
        <v>Chicago</v>
      </c>
    </row>
    <row r="10" customFormat="false" ht="14.25" hidden="false" customHeight="false" outlineLevel="0" collapsed="false">
      <c r="A10" s="0" t="n">
        <v>580622</v>
      </c>
      <c r="B10" s="0" t="s">
        <v>16</v>
      </c>
      <c r="C10" s="0" t="s">
        <v>17</v>
      </c>
      <c r="F10" s="0" t="n">
        <v>391006</v>
      </c>
      <c r="G10" s="9" t="n">
        <v>168114</v>
      </c>
      <c r="H10" s="10" t="str">
        <f aca="false">_xlfn.XLOOKUP(F10,$A$4:$A$16,$B$4:$B$16)</f>
        <v>Pan</v>
      </c>
      <c r="I10" s="12" t="str">
        <f aca="false">_xlfn.XLOOKUP(F10,$A$24:$A$36,$B$24:$B$36)</f>
        <v>Chicago</v>
      </c>
    </row>
    <row r="11" customFormat="false" ht="14.25" hidden="false" customHeight="false" outlineLevel="0" collapsed="false">
      <c r="A11" s="0" t="n">
        <v>602693</v>
      </c>
      <c r="B11" s="0" t="s">
        <v>18</v>
      </c>
      <c r="C11" s="0" t="s">
        <v>19</v>
      </c>
      <c r="F11" s="0" t="n">
        <v>352711</v>
      </c>
      <c r="G11" s="9" t="n">
        <v>89627</v>
      </c>
      <c r="H11" s="10" t="str">
        <f aca="false">_xlfn.XLOOKUP(F11,$A$4:$A$16,$B$4:$B$16)</f>
        <v>Smith</v>
      </c>
      <c r="I11" s="12" t="str">
        <f aca="false">_xlfn.XLOOKUP(F11,$A$24:$A$36,$B$24:$B$36)</f>
        <v>Tampa Bay</v>
      </c>
    </row>
    <row r="12" customFormat="false" ht="14.25" hidden="false" customHeight="false" outlineLevel="0" collapsed="false">
      <c r="A12" s="0" t="n">
        <v>611810</v>
      </c>
      <c r="B12" s="0" t="s">
        <v>20</v>
      </c>
      <c r="C12" s="0" t="s">
        <v>21</v>
      </c>
      <c r="F12" s="0" t="n">
        <v>253072</v>
      </c>
      <c r="G12" s="9" t="n">
        <v>149946</v>
      </c>
      <c r="H12" s="10" t="str">
        <f aca="false">_xlfn.XLOOKUP(F12,$A$4:$A$16,$B$4:$B$16)</f>
        <v>Cline</v>
      </c>
      <c r="I12" s="12" t="str">
        <f aca="false">_xlfn.XLOOKUP(F12,$A$24:$A$36,$B$24:$B$36)</f>
        <v>Chicago</v>
      </c>
    </row>
    <row r="13" customFormat="false" ht="14.25" hidden="false" customHeight="false" outlineLevel="0" collapsed="false">
      <c r="A13" s="0" t="n">
        <v>612235</v>
      </c>
      <c r="B13" s="0" t="s">
        <v>22</v>
      </c>
      <c r="C13" s="0" t="s">
        <v>19</v>
      </c>
      <c r="F13" s="0" t="n">
        <v>612235</v>
      </c>
      <c r="G13" s="9" t="n">
        <v>145893</v>
      </c>
      <c r="H13" s="10" t="str">
        <f aca="false">_xlfn.XLOOKUP(F13,$A$4:$A$16,$B$4:$B$16)</f>
        <v>Jordan</v>
      </c>
      <c r="I13" s="12" t="str">
        <f aca="false">_xlfn.XLOOKUP(F13,$A$24:$A$36,$B$24:$B$36)</f>
        <v>Tampa Bay</v>
      </c>
    </row>
    <row r="14" customFormat="false" ht="14.25" hidden="false" customHeight="false" outlineLevel="0" collapsed="false">
      <c r="A14" s="0" t="n">
        <v>795574</v>
      </c>
      <c r="B14" s="0" t="s">
        <v>23</v>
      </c>
      <c r="C14" s="0" t="s">
        <v>24</v>
      </c>
      <c r="F14" s="0" t="n">
        <v>611810</v>
      </c>
      <c r="G14" s="9" t="n">
        <v>64757</v>
      </c>
      <c r="H14" s="10" t="str">
        <f aca="false">_xlfn.XLOOKUP(F14,$A$4:$A$16,$B$4:$B$16)</f>
        <v>Woods</v>
      </c>
      <c r="I14" s="12" t="str">
        <f aca="false">_xlfn.XLOOKUP(F14,$A$24:$A$36,$B$24:$B$36)</f>
        <v>Austin</v>
      </c>
    </row>
    <row r="15" customFormat="false" ht="14.25" hidden="false" customHeight="false" outlineLevel="0" collapsed="false">
      <c r="A15" s="0" t="n">
        <v>830385</v>
      </c>
      <c r="B15" s="0" t="s">
        <v>25</v>
      </c>
      <c r="C15" s="0" t="s">
        <v>26</v>
      </c>
      <c r="F15" s="0" t="n">
        <v>602693</v>
      </c>
      <c r="G15" s="9" t="n">
        <v>71478</v>
      </c>
      <c r="H15" s="10" t="str">
        <f aca="false">_xlfn.XLOOKUP(F15,$A$4:$A$16,$B$4:$B$16)</f>
        <v>Vick</v>
      </c>
      <c r="I15" s="12" t="str">
        <f aca="false">_xlfn.XLOOKUP(F15,$A$24:$A$36,$B$24:$B$36)</f>
        <v>Tampa Bay</v>
      </c>
    </row>
    <row r="16" customFormat="false" ht="14.25" hidden="false" customHeight="false" outlineLevel="0" collapsed="false">
      <c r="A16" s="0" t="n">
        <v>990678</v>
      </c>
      <c r="B16" s="0" t="s">
        <v>27</v>
      </c>
      <c r="C16" s="0" t="s">
        <v>28</v>
      </c>
      <c r="F16" s="0" t="n">
        <v>110608</v>
      </c>
      <c r="G16" s="9" t="n">
        <v>131505</v>
      </c>
      <c r="H16" s="10" t="str">
        <f aca="false">_xlfn.XLOOKUP(F16,$A$4:$A$16,$B$4:$B$16)</f>
        <v>Doe</v>
      </c>
      <c r="I16" s="12" t="str">
        <f aca="false">_xlfn.XLOOKUP(F16,$A$24:$A$36,$B$24:$B$36)</f>
        <v>Columbus</v>
      </c>
    </row>
    <row r="21" customFormat="false" ht="19.7" hidden="false" customHeight="false" outlineLevel="0" collapsed="false">
      <c r="A21" s="1" t="s">
        <v>33</v>
      </c>
      <c r="B21" s="1"/>
      <c r="C21" s="1"/>
    </row>
    <row r="23" customFormat="false" ht="14.25" hidden="false" customHeight="false" outlineLevel="0" collapsed="false">
      <c r="A23" s="3" t="s">
        <v>2</v>
      </c>
      <c r="B23" s="4" t="s">
        <v>31</v>
      </c>
      <c r="C23" s="5" t="s">
        <v>34</v>
      </c>
    </row>
    <row r="24" customFormat="false" ht="14.25" hidden="false" customHeight="false" outlineLevel="0" collapsed="false">
      <c r="A24" s="0" t="n">
        <v>110608</v>
      </c>
      <c r="B24" s="0" t="s">
        <v>35</v>
      </c>
      <c r="C24" s="0" t="s">
        <v>36</v>
      </c>
    </row>
    <row r="25" customFormat="false" ht="14.25" hidden="false" customHeight="false" outlineLevel="0" collapsed="false">
      <c r="A25" s="0" t="n">
        <v>253072</v>
      </c>
      <c r="B25" s="0" t="s">
        <v>37</v>
      </c>
      <c r="C25" s="0" t="s">
        <v>38</v>
      </c>
    </row>
    <row r="26" customFormat="false" ht="14.25" hidden="false" customHeight="false" outlineLevel="0" collapsed="false">
      <c r="A26" s="0" t="n">
        <v>352711</v>
      </c>
      <c r="B26" s="0" t="s">
        <v>39</v>
      </c>
      <c r="C26" s="0" t="s">
        <v>40</v>
      </c>
    </row>
    <row r="27" customFormat="false" ht="14.25" hidden="false" customHeight="false" outlineLevel="0" collapsed="false">
      <c r="A27" s="0" t="n">
        <v>391006</v>
      </c>
      <c r="B27" s="0" t="s">
        <v>37</v>
      </c>
      <c r="C27" s="0" t="s">
        <v>38</v>
      </c>
    </row>
    <row r="28" customFormat="false" ht="14.25" hidden="false" customHeight="false" outlineLevel="0" collapsed="false">
      <c r="A28" s="0" t="n">
        <v>392128</v>
      </c>
      <c r="B28" s="0" t="s">
        <v>37</v>
      </c>
      <c r="C28" s="0" t="s">
        <v>38</v>
      </c>
    </row>
    <row r="29" customFormat="false" ht="14.25" hidden="false" customHeight="false" outlineLevel="0" collapsed="false">
      <c r="A29" s="0" t="n">
        <v>549457</v>
      </c>
      <c r="B29" s="0" t="s">
        <v>39</v>
      </c>
      <c r="C29" s="0" t="s">
        <v>40</v>
      </c>
    </row>
    <row r="30" customFormat="false" ht="14.25" hidden="false" customHeight="false" outlineLevel="0" collapsed="false">
      <c r="A30" s="0" t="n">
        <v>580622</v>
      </c>
      <c r="B30" s="0" t="s">
        <v>35</v>
      </c>
      <c r="C30" s="0" t="s">
        <v>36</v>
      </c>
    </row>
    <row r="31" customFormat="false" ht="14.25" hidden="false" customHeight="false" outlineLevel="0" collapsed="false">
      <c r="A31" s="0" t="n">
        <v>602693</v>
      </c>
      <c r="B31" s="0" t="s">
        <v>39</v>
      </c>
      <c r="C31" s="0" t="s">
        <v>40</v>
      </c>
    </row>
    <row r="32" customFormat="false" ht="14.25" hidden="false" customHeight="false" outlineLevel="0" collapsed="false">
      <c r="A32" s="0" t="n">
        <v>611810</v>
      </c>
      <c r="B32" s="0" t="s">
        <v>41</v>
      </c>
      <c r="C32" s="0" t="s">
        <v>42</v>
      </c>
    </row>
    <row r="33" customFormat="false" ht="14.25" hidden="false" customHeight="false" outlineLevel="0" collapsed="false">
      <c r="A33" s="0" t="n">
        <v>612235</v>
      </c>
      <c r="B33" s="0" t="s">
        <v>39</v>
      </c>
      <c r="C33" s="0" t="s">
        <v>40</v>
      </c>
    </row>
    <row r="34" customFormat="false" ht="14.25" hidden="false" customHeight="false" outlineLevel="0" collapsed="false">
      <c r="A34" s="0" t="n">
        <v>795574</v>
      </c>
      <c r="B34" s="0" t="s">
        <v>41</v>
      </c>
      <c r="C34" s="0" t="s">
        <v>42</v>
      </c>
    </row>
    <row r="35" customFormat="false" ht="14.25" hidden="false" customHeight="false" outlineLevel="0" collapsed="false">
      <c r="A35" s="0" t="n">
        <v>830385</v>
      </c>
      <c r="B35" s="0" t="s">
        <v>37</v>
      </c>
      <c r="C35" s="0" t="s">
        <v>38</v>
      </c>
    </row>
    <row r="36" customFormat="false" ht="14.25" hidden="false" customHeight="false" outlineLevel="0" collapsed="false">
      <c r="A36" s="0" t="n">
        <v>990678</v>
      </c>
      <c r="B36" s="0" t="s">
        <v>41</v>
      </c>
      <c r="C36" s="0" t="s">
        <v>42</v>
      </c>
    </row>
  </sheetData>
  <mergeCells count="3">
    <mergeCell ref="A1:C1"/>
    <mergeCell ref="F1:I1"/>
    <mergeCell ref="A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3" colorId="64" zoomScale="90" zoomScaleNormal="90" zoomScalePageLayoutView="100" workbookViewId="0">
      <selection pane="topLeft" activeCell="I31" activeCellId="0" sqref="I3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0.42"/>
    <col collapsed="false" customWidth="true" hidden="false" outlineLevel="0" max="3" min="3" style="0" width="10.57"/>
    <col collapsed="false" customWidth="true" hidden="false" outlineLevel="0" max="6" min="6" style="0" width="13"/>
    <col collapsed="false" customWidth="true" hidden="false" outlineLevel="0" max="7" min="7" style="0" width="10.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30</v>
      </c>
      <c r="B1" s="1"/>
      <c r="C1" s="1"/>
      <c r="F1" s="2" t="s">
        <v>1</v>
      </c>
      <c r="G1" s="2"/>
      <c r="H1" s="2"/>
      <c r="I1" s="2"/>
    </row>
    <row r="3" customFormat="false" ht="14.25" hidden="false" customHeight="false" outlineLevel="0" collapsed="false">
      <c r="A3" s="3" t="s">
        <v>2</v>
      </c>
      <c r="B3" s="4" t="s">
        <v>3</v>
      </c>
      <c r="C3" s="5" t="s">
        <v>4</v>
      </c>
      <c r="F3" s="6" t="s">
        <v>2</v>
      </c>
      <c r="G3" s="7" t="s">
        <v>5</v>
      </c>
      <c r="H3" s="7" t="s">
        <v>3</v>
      </c>
      <c r="I3" s="8" t="s">
        <v>31</v>
      </c>
    </row>
    <row r="4" customFormat="false" ht="14.25" hidden="false" customHeight="false" outlineLevel="0" collapsed="false">
      <c r="A4" s="0" t="n">
        <v>110608</v>
      </c>
      <c r="B4" s="0" t="s">
        <v>6</v>
      </c>
      <c r="C4" s="0" t="s">
        <v>7</v>
      </c>
      <c r="F4" s="0" t="n">
        <v>990678</v>
      </c>
      <c r="G4" s="9" t="n">
        <v>84289</v>
      </c>
      <c r="H4" s="10" t="str">
        <f aca="false">VLOOKUP(F4,$A$3:$C$16,2,0)</f>
        <v>Pitt</v>
      </c>
      <c r="I4" s="10" t="str">
        <f aca="false">VLOOKUP(F4,$A$23:$C$36,2,0)</f>
        <v>Austin</v>
      </c>
    </row>
    <row r="5" customFormat="false" ht="14.25" hidden="false" customHeight="false" outlineLevel="0" collapsed="false">
      <c r="A5" s="0" t="n">
        <v>253072</v>
      </c>
      <c r="B5" s="0" t="s">
        <v>8</v>
      </c>
      <c r="C5" s="0" t="s">
        <v>9</v>
      </c>
      <c r="F5" s="0" t="n">
        <v>830385</v>
      </c>
      <c r="G5" s="9" t="n">
        <v>137670</v>
      </c>
      <c r="H5" s="10" t="str">
        <f aca="false">VLOOKUP(F5,$A$3:$C$16,2,0)</f>
        <v>Williams</v>
      </c>
      <c r="I5" s="10" t="str">
        <f aca="false">VLOOKUP(F5,$A$23:$C$36,2,0)</f>
        <v>Chicago</v>
      </c>
    </row>
    <row r="6" customFormat="false" ht="14.25" hidden="false" customHeight="false" outlineLevel="0" collapsed="false">
      <c r="A6" s="0" t="n">
        <v>352711</v>
      </c>
      <c r="B6" s="0" t="s">
        <v>10</v>
      </c>
      <c r="C6" s="0" t="s">
        <v>7</v>
      </c>
      <c r="F6" s="0" t="n">
        <v>795574</v>
      </c>
      <c r="G6" s="9" t="n">
        <v>190024</v>
      </c>
      <c r="H6" s="10" t="str">
        <f aca="false">VLOOKUP(F6,$A$3:$C$16,2,0)</f>
        <v>Stark</v>
      </c>
      <c r="I6" s="10" t="str">
        <f aca="false">VLOOKUP(F6,$A$23:$C$36,2,0)</f>
        <v>Austin</v>
      </c>
    </row>
    <row r="7" customFormat="false" ht="14.25" hidden="false" customHeight="false" outlineLevel="0" collapsed="false">
      <c r="A7" s="0" t="n">
        <v>391006</v>
      </c>
      <c r="B7" s="0" t="s">
        <v>11</v>
      </c>
      <c r="C7" s="0" t="s">
        <v>12</v>
      </c>
      <c r="F7" s="0" t="n">
        <v>580622</v>
      </c>
      <c r="G7" s="9" t="n">
        <v>122604</v>
      </c>
      <c r="H7" s="10" t="str">
        <f aca="false">VLOOKUP(F7,$A$3:$C$16,2,0)</f>
        <v>Manning</v>
      </c>
      <c r="I7" s="10" t="str">
        <f aca="false">VLOOKUP(F7,$A$23:$C$36,2,0)</f>
        <v>Columbus</v>
      </c>
    </row>
    <row r="8" customFormat="false" ht="14.25" hidden="false" customHeight="false" outlineLevel="0" collapsed="false">
      <c r="A8" s="0" t="n">
        <v>392128</v>
      </c>
      <c r="B8" s="0" t="s">
        <v>13</v>
      </c>
      <c r="C8" s="0" t="s">
        <v>14</v>
      </c>
      <c r="F8" s="0" t="n">
        <v>549457</v>
      </c>
      <c r="G8" s="9" t="n">
        <v>111709</v>
      </c>
      <c r="H8" s="10" t="str">
        <f aca="false">VLOOKUP(F8,$A$3:$C$16,2,0)</f>
        <v>Elway</v>
      </c>
      <c r="I8" s="10" t="str">
        <f aca="false">VLOOKUP(F8,$A$23:$C$36,2,0)</f>
        <v>Tampa Bay</v>
      </c>
    </row>
    <row r="9" customFormat="false" ht="14.25" hidden="false" customHeight="false" outlineLevel="0" collapsed="false">
      <c r="A9" s="0" t="n">
        <v>549457</v>
      </c>
      <c r="B9" s="0" t="s">
        <v>15</v>
      </c>
      <c r="C9" s="0" t="s">
        <v>7</v>
      </c>
      <c r="F9" s="0" t="n">
        <v>392128</v>
      </c>
      <c r="G9" s="9" t="n">
        <v>85931</v>
      </c>
      <c r="H9" s="10" t="str">
        <f aca="false">VLOOKUP(F9,$A$3:$C$16,2,0)</f>
        <v>Favre</v>
      </c>
      <c r="I9" s="10" t="str">
        <f aca="false">VLOOKUP(F9,$A$23:$C$36,2,0)</f>
        <v>Chicago</v>
      </c>
    </row>
    <row r="10" customFormat="false" ht="14.25" hidden="false" customHeight="false" outlineLevel="0" collapsed="false">
      <c r="A10" s="0" t="n">
        <v>580622</v>
      </c>
      <c r="B10" s="0" t="s">
        <v>16</v>
      </c>
      <c r="C10" s="0" t="s">
        <v>17</v>
      </c>
      <c r="F10" s="0" t="n">
        <v>391006</v>
      </c>
      <c r="G10" s="9" t="n">
        <v>168114</v>
      </c>
      <c r="H10" s="10" t="str">
        <f aca="false">VLOOKUP(F10,$A$3:$C$16,2,0)</f>
        <v>Pan</v>
      </c>
      <c r="I10" s="10" t="str">
        <f aca="false">VLOOKUP(F10,$A$23:$C$36,2,0)</f>
        <v>Chicago</v>
      </c>
    </row>
    <row r="11" customFormat="false" ht="14.25" hidden="false" customHeight="false" outlineLevel="0" collapsed="false">
      <c r="A11" s="0" t="n">
        <v>602693</v>
      </c>
      <c r="B11" s="0" t="s">
        <v>18</v>
      </c>
      <c r="C11" s="0" t="s">
        <v>19</v>
      </c>
      <c r="F11" s="0" t="n">
        <v>352711</v>
      </c>
      <c r="G11" s="9" t="n">
        <v>89627</v>
      </c>
      <c r="H11" s="10" t="str">
        <f aca="false">VLOOKUP(F11,$A$3:$C$16,2,0)</f>
        <v>Smith</v>
      </c>
      <c r="I11" s="10" t="str">
        <f aca="false">VLOOKUP(F11,$A$23:$C$36,2,0)</f>
        <v>Tampa Bay</v>
      </c>
    </row>
    <row r="12" customFormat="false" ht="14.25" hidden="false" customHeight="false" outlineLevel="0" collapsed="false">
      <c r="A12" s="0" t="n">
        <v>611810</v>
      </c>
      <c r="B12" s="0" t="s">
        <v>20</v>
      </c>
      <c r="C12" s="0" t="s">
        <v>21</v>
      </c>
      <c r="F12" s="0" t="n">
        <v>253072</v>
      </c>
      <c r="G12" s="9" t="n">
        <v>149946</v>
      </c>
      <c r="H12" s="10" t="str">
        <f aca="false">VLOOKUP(F12,$A$3:$C$16,2,0)</f>
        <v>Cline</v>
      </c>
      <c r="I12" s="10" t="str">
        <f aca="false">VLOOKUP(F12,$A$23:$C$36,2,0)</f>
        <v>Chicago</v>
      </c>
    </row>
    <row r="13" customFormat="false" ht="14.25" hidden="false" customHeight="false" outlineLevel="0" collapsed="false">
      <c r="A13" s="0" t="n">
        <v>612235</v>
      </c>
      <c r="B13" s="0" t="s">
        <v>22</v>
      </c>
      <c r="C13" s="0" t="s">
        <v>19</v>
      </c>
      <c r="F13" s="0" t="n">
        <v>612235</v>
      </c>
      <c r="G13" s="9" t="n">
        <v>145893</v>
      </c>
      <c r="H13" s="10" t="str">
        <f aca="false">VLOOKUP(F13,$A$3:$C$16,2,0)</f>
        <v>Jordan</v>
      </c>
      <c r="I13" s="10" t="str">
        <f aca="false">VLOOKUP(F13,$A$23:$C$36,2,0)</f>
        <v>Tampa Bay</v>
      </c>
    </row>
    <row r="14" customFormat="false" ht="14.25" hidden="false" customHeight="false" outlineLevel="0" collapsed="false">
      <c r="A14" s="0" t="n">
        <v>795574</v>
      </c>
      <c r="B14" s="0" t="s">
        <v>23</v>
      </c>
      <c r="C14" s="0" t="s">
        <v>24</v>
      </c>
      <c r="F14" s="0" t="n">
        <v>611810</v>
      </c>
      <c r="G14" s="9" t="n">
        <v>64757</v>
      </c>
      <c r="H14" s="10" t="str">
        <f aca="false">VLOOKUP(F14,$A$3:$C$16,2,0)</f>
        <v>Woods</v>
      </c>
      <c r="I14" s="10" t="str">
        <f aca="false">VLOOKUP(F14,$A$23:$C$36,2,0)</f>
        <v>Austin</v>
      </c>
    </row>
    <row r="15" customFormat="false" ht="14.25" hidden="false" customHeight="false" outlineLevel="0" collapsed="false">
      <c r="A15" s="0" t="n">
        <v>830385</v>
      </c>
      <c r="B15" s="0" t="s">
        <v>25</v>
      </c>
      <c r="C15" s="0" t="s">
        <v>26</v>
      </c>
      <c r="F15" s="0" t="n">
        <v>602693</v>
      </c>
      <c r="G15" s="9" t="n">
        <v>71478</v>
      </c>
      <c r="H15" s="10" t="str">
        <f aca="false">VLOOKUP(F15,$A$3:$C$16,2,0)</f>
        <v>Vick</v>
      </c>
      <c r="I15" s="10" t="str">
        <f aca="false">VLOOKUP(F15,$A$23:$C$36,2,0)</f>
        <v>Tampa Bay</v>
      </c>
    </row>
    <row r="16" customFormat="false" ht="14.25" hidden="false" customHeight="false" outlineLevel="0" collapsed="false">
      <c r="A16" s="0" t="n">
        <v>990678</v>
      </c>
      <c r="B16" s="0" t="s">
        <v>27</v>
      </c>
      <c r="C16" s="0" t="s">
        <v>28</v>
      </c>
      <c r="F16" s="0" t="n">
        <v>110608</v>
      </c>
      <c r="G16" s="9" t="n">
        <v>131505</v>
      </c>
      <c r="H16" s="10" t="str">
        <f aca="false">VLOOKUP(F16,$A$3:$C$16,2,0)</f>
        <v>Doe</v>
      </c>
      <c r="I16" s="10" t="str">
        <f aca="false">VLOOKUP(F16,$A$23:$C$36,2,0)</f>
        <v>Columbus</v>
      </c>
    </row>
    <row r="21" customFormat="false" ht="19.7" hidden="false" customHeight="false" outlineLevel="0" collapsed="false">
      <c r="A21" s="1" t="s">
        <v>33</v>
      </c>
      <c r="B21" s="1"/>
      <c r="C21" s="1"/>
    </row>
    <row r="23" customFormat="false" ht="14.25" hidden="false" customHeight="false" outlineLevel="0" collapsed="false">
      <c r="A23" s="3" t="s">
        <v>2</v>
      </c>
      <c r="B23" s="4" t="s">
        <v>31</v>
      </c>
      <c r="C23" s="5" t="s">
        <v>34</v>
      </c>
    </row>
    <row r="24" customFormat="false" ht="14.25" hidden="false" customHeight="false" outlineLevel="0" collapsed="false">
      <c r="A24" s="0" t="n">
        <v>110608</v>
      </c>
      <c r="B24" s="0" t="s">
        <v>35</v>
      </c>
      <c r="C24" s="0" t="s">
        <v>36</v>
      </c>
    </row>
    <row r="25" customFormat="false" ht="14.25" hidden="false" customHeight="false" outlineLevel="0" collapsed="false">
      <c r="A25" s="0" t="n">
        <v>253072</v>
      </c>
      <c r="B25" s="0" t="s">
        <v>37</v>
      </c>
      <c r="C25" s="0" t="s">
        <v>38</v>
      </c>
    </row>
    <row r="26" customFormat="false" ht="14.25" hidden="false" customHeight="false" outlineLevel="0" collapsed="false">
      <c r="A26" s="0" t="n">
        <v>352711</v>
      </c>
      <c r="B26" s="0" t="s">
        <v>39</v>
      </c>
      <c r="C26" s="0" t="s">
        <v>40</v>
      </c>
    </row>
    <row r="27" customFormat="false" ht="14.25" hidden="false" customHeight="false" outlineLevel="0" collapsed="false">
      <c r="A27" s="0" t="n">
        <v>391006</v>
      </c>
      <c r="B27" s="0" t="s">
        <v>37</v>
      </c>
      <c r="C27" s="0" t="s">
        <v>38</v>
      </c>
    </row>
    <row r="28" customFormat="false" ht="14.25" hidden="false" customHeight="false" outlineLevel="0" collapsed="false">
      <c r="A28" s="0" t="n">
        <v>392128</v>
      </c>
      <c r="B28" s="0" t="s">
        <v>37</v>
      </c>
      <c r="C28" s="0" t="s">
        <v>38</v>
      </c>
    </row>
    <row r="29" customFormat="false" ht="14.25" hidden="false" customHeight="false" outlineLevel="0" collapsed="false">
      <c r="A29" s="0" t="n">
        <v>549457</v>
      </c>
      <c r="B29" s="0" t="s">
        <v>39</v>
      </c>
      <c r="C29" s="0" t="s">
        <v>40</v>
      </c>
    </row>
    <row r="30" customFormat="false" ht="14.25" hidden="false" customHeight="false" outlineLevel="0" collapsed="false">
      <c r="A30" s="0" t="n">
        <v>580622</v>
      </c>
      <c r="B30" s="0" t="s">
        <v>35</v>
      </c>
      <c r="C30" s="0" t="s">
        <v>36</v>
      </c>
    </row>
    <row r="31" customFormat="false" ht="14.25" hidden="false" customHeight="false" outlineLevel="0" collapsed="false">
      <c r="A31" s="0" t="n">
        <v>602693</v>
      </c>
      <c r="B31" s="0" t="s">
        <v>39</v>
      </c>
      <c r="C31" s="0" t="s">
        <v>40</v>
      </c>
    </row>
    <row r="32" customFormat="false" ht="14.25" hidden="false" customHeight="false" outlineLevel="0" collapsed="false">
      <c r="A32" s="0" t="n">
        <v>611810</v>
      </c>
      <c r="B32" s="0" t="s">
        <v>41</v>
      </c>
      <c r="C32" s="0" t="s">
        <v>42</v>
      </c>
    </row>
    <row r="33" customFormat="false" ht="14.25" hidden="false" customHeight="false" outlineLevel="0" collapsed="false">
      <c r="A33" s="0" t="n">
        <v>612235</v>
      </c>
      <c r="B33" s="0" t="s">
        <v>39</v>
      </c>
      <c r="C33" s="0" t="s">
        <v>40</v>
      </c>
    </row>
    <row r="34" customFormat="false" ht="14.25" hidden="false" customHeight="false" outlineLevel="0" collapsed="false">
      <c r="A34" s="0" t="n">
        <v>795574</v>
      </c>
      <c r="B34" s="0" t="s">
        <v>41</v>
      </c>
      <c r="C34" s="0" t="s">
        <v>42</v>
      </c>
    </row>
    <row r="35" customFormat="false" ht="14.25" hidden="false" customHeight="false" outlineLevel="0" collapsed="false">
      <c r="A35" s="0" t="n">
        <v>830385</v>
      </c>
      <c r="B35" s="0" t="s">
        <v>37</v>
      </c>
      <c r="C35" s="0" t="s">
        <v>38</v>
      </c>
    </row>
    <row r="36" customFormat="false" ht="14.25" hidden="false" customHeight="false" outlineLevel="0" collapsed="false">
      <c r="A36" s="0" t="n">
        <v>990678</v>
      </c>
      <c r="B36" s="0" t="s">
        <v>41</v>
      </c>
      <c r="C36" s="0" t="s">
        <v>42</v>
      </c>
    </row>
  </sheetData>
  <mergeCells count="3">
    <mergeCell ref="A1:C1"/>
    <mergeCell ref="F1:I1"/>
    <mergeCell ref="A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6" activeCellId="0" sqref="G16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4.42"/>
    <col collapsed="false" customWidth="true" hidden="false" outlineLevel="0" max="5" min="5" style="0" width="13"/>
    <col collapsed="false" customWidth="true" hidden="false" outlineLevel="0" max="6" min="6" style="0" width="10.4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43</v>
      </c>
      <c r="B1" s="1"/>
      <c r="E1" s="2" t="s">
        <v>1</v>
      </c>
      <c r="F1" s="2"/>
      <c r="G1" s="2"/>
    </row>
    <row r="3" customFormat="false" ht="14.25" hidden="false" customHeight="false" outlineLevel="0" collapsed="false">
      <c r="A3" s="3" t="s">
        <v>44</v>
      </c>
      <c r="B3" s="4" t="s">
        <v>45</v>
      </c>
      <c r="E3" s="6" t="s">
        <v>2</v>
      </c>
      <c r="F3" s="7" t="s">
        <v>5</v>
      </c>
      <c r="G3" s="7" t="s">
        <v>45</v>
      </c>
    </row>
    <row r="4" customFormat="false" ht="14.25" hidden="false" customHeight="false" outlineLevel="0" collapsed="false">
      <c r="A4" s="9" t="n">
        <v>25000</v>
      </c>
      <c r="B4" s="0" t="s">
        <v>46</v>
      </c>
      <c r="E4" s="0" t="n">
        <v>990678</v>
      </c>
      <c r="F4" s="9" t="n">
        <v>84289</v>
      </c>
      <c r="G4" s="13" t="str">
        <f aca="false">_xlfn.XLOOKUP(F4,$A$4:$A$8,$B$4:$B$8, ,-1)</f>
        <v>Level C</v>
      </c>
    </row>
    <row r="5" customFormat="false" ht="14.25" hidden="false" customHeight="false" outlineLevel="0" collapsed="false">
      <c r="A5" s="9" t="n">
        <v>50000</v>
      </c>
      <c r="B5" s="0" t="s">
        <v>47</v>
      </c>
      <c r="E5" s="0" t="n">
        <v>830385</v>
      </c>
      <c r="F5" s="9" t="n">
        <v>137670</v>
      </c>
      <c r="G5" s="13" t="str">
        <f aca="false">_xlfn.XLOOKUP(F5,$A$4:$A$8,$B$4:$B$8,,-1)</f>
        <v>Level D</v>
      </c>
    </row>
    <row r="6" customFormat="false" ht="14.25" hidden="false" customHeight="false" outlineLevel="0" collapsed="false">
      <c r="A6" s="9" t="n">
        <v>75000</v>
      </c>
      <c r="B6" s="0" t="s">
        <v>48</v>
      </c>
      <c r="E6" s="0" t="n">
        <v>795574</v>
      </c>
      <c r="F6" s="9" t="n">
        <v>190024</v>
      </c>
      <c r="G6" s="13" t="str">
        <f aca="false">_xlfn.XLOOKUP(F6,$A$4:$A$8,$B$4:$B$8,,-1)</f>
        <v>Level E</v>
      </c>
    </row>
    <row r="7" customFormat="false" ht="14.25" hidden="false" customHeight="false" outlineLevel="0" collapsed="false">
      <c r="A7" s="9" t="n">
        <v>100000</v>
      </c>
      <c r="B7" s="0" t="s">
        <v>49</v>
      </c>
      <c r="E7" s="0" t="n">
        <v>580622</v>
      </c>
      <c r="F7" s="9" t="n">
        <v>122604</v>
      </c>
      <c r="G7" s="13" t="str">
        <f aca="false">_xlfn.XLOOKUP(F7,$A$4:$A$8,$B$4:$B$8,,-1)</f>
        <v>Level D</v>
      </c>
      <c r="J7" s="0" t="s">
        <v>50</v>
      </c>
    </row>
    <row r="8" customFormat="false" ht="14.25" hidden="false" customHeight="false" outlineLevel="0" collapsed="false">
      <c r="A8" s="9" t="n">
        <v>150000</v>
      </c>
      <c r="B8" s="0" t="s">
        <v>51</v>
      </c>
      <c r="E8" s="0" t="n">
        <v>549457</v>
      </c>
      <c r="F8" s="9" t="n">
        <v>111709</v>
      </c>
      <c r="G8" s="13" t="str">
        <f aca="false">_xlfn.XLOOKUP(F8,$A$4:$A$8,$B$4:$B$8,,-1)</f>
        <v>Level D</v>
      </c>
    </row>
    <row r="9" customFormat="false" ht="14.25" hidden="false" customHeight="false" outlineLevel="0" collapsed="false">
      <c r="E9" s="0" t="n">
        <v>392128</v>
      </c>
      <c r="F9" s="9" t="n">
        <v>85931</v>
      </c>
      <c r="G9" s="13" t="str">
        <f aca="false">_xlfn.XLOOKUP(F9,$A$4:$A$8,$B$4:$B$8,,-1)</f>
        <v>Level C</v>
      </c>
    </row>
    <row r="10" customFormat="false" ht="14.25" hidden="false" customHeight="false" outlineLevel="0" collapsed="false">
      <c r="E10" s="0" t="n">
        <v>391006</v>
      </c>
      <c r="F10" s="9" t="n">
        <v>168114</v>
      </c>
      <c r="G10" s="13" t="str">
        <f aca="false">_xlfn.XLOOKUP(F10,$A$4:$A$8,$B$4:$B$8,,-1)</f>
        <v>Level E</v>
      </c>
    </row>
    <row r="11" customFormat="false" ht="14.25" hidden="false" customHeight="false" outlineLevel="0" collapsed="false">
      <c r="E11" s="0" t="n">
        <v>352711</v>
      </c>
      <c r="F11" s="9" t="n">
        <v>89627</v>
      </c>
      <c r="G11" s="13" t="str">
        <f aca="false">_xlfn.XLOOKUP(F11,$A$4:$A$8,$B$4:$B$8,,-1)</f>
        <v>Level C</v>
      </c>
    </row>
    <row r="12" customFormat="false" ht="14.25" hidden="false" customHeight="false" outlineLevel="0" collapsed="false">
      <c r="E12" s="0" t="n">
        <v>253072</v>
      </c>
      <c r="F12" s="9" t="n">
        <v>149946</v>
      </c>
      <c r="G12" s="13" t="str">
        <f aca="false">_xlfn.XLOOKUP(F12,$A$4:$A$8,$B$4:$B$8,,-1)</f>
        <v>Level D</v>
      </c>
    </row>
    <row r="13" customFormat="false" ht="14.25" hidden="false" customHeight="false" outlineLevel="0" collapsed="false">
      <c r="E13" s="0" t="n">
        <v>612235</v>
      </c>
      <c r="F13" s="9" t="n">
        <v>145893</v>
      </c>
      <c r="G13" s="13" t="str">
        <f aca="false">_xlfn.XLOOKUP(F13,$A$4:$A$8,$B$4:$B$8,,-1)</f>
        <v>Level D</v>
      </c>
    </row>
    <row r="14" customFormat="false" ht="14.25" hidden="false" customHeight="false" outlineLevel="0" collapsed="false">
      <c r="E14" s="0" t="n">
        <v>611810</v>
      </c>
      <c r="F14" s="9" t="n">
        <v>64757</v>
      </c>
      <c r="G14" s="13" t="str">
        <f aca="false">_xlfn.XLOOKUP(F14,$A$4:$A$8,$B$4:$B$8,,-1)</f>
        <v>Level B</v>
      </c>
    </row>
    <row r="15" customFormat="false" ht="14.25" hidden="false" customHeight="false" outlineLevel="0" collapsed="false">
      <c r="E15" s="0" t="n">
        <v>602693</v>
      </c>
      <c r="F15" s="9" t="n">
        <v>71478</v>
      </c>
      <c r="G15" s="13" t="str">
        <f aca="false">_xlfn.XLOOKUP(F15,$A$4:$A$8,$B$4:$B$8,,-1)</f>
        <v>Level B</v>
      </c>
    </row>
    <row r="16" customFormat="false" ht="14.25" hidden="false" customHeight="false" outlineLevel="0" collapsed="false">
      <c r="E16" s="0" t="n">
        <v>110608</v>
      </c>
      <c r="F16" s="9" t="n">
        <v>131505</v>
      </c>
      <c r="G16" s="13" t="str">
        <f aca="false">_xlfn.XLOOKUP(F16,$A$4:$A$8,$B$4:$B$8,,-1)</f>
        <v>Level D</v>
      </c>
    </row>
  </sheetData>
  <mergeCells count="2">
    <mergeCell ref="A1:B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31" activeCellId="0" sqref="I3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4.42"/>
    <col collapsed="false" customWidth="true" hidden="false" outlineLevel="0" max="5" min="5" style="0" width="13"/>
    <col collapsed="false" customWidth="true" hidden="false" outlineLevel="0" max="6" min="6" style="0" width="10.4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43</v>
      </c>
      <c r="B1" s="1"/>
      <c r="E1" s="2" t="s">
        <v>1</v>
      </c>
      <c r="F1" s="2"/>
      <c r="G1" s="2"/>
    </row>
    <row r="3" customFormat="false" ht="14.25" hidden="false" customHeight="false" outlineLevel="0" collapsed="false">
      <c r="A3" s="3" t="s">
        <v>44</v>
      </c>
      <c r="B3" s="4" t="s">
        <v>45</v>
      </c>
      <c r="E3" s="6" t="s">
        <v>2</v>
      </c>
      <c r="F3" s="7" t="s">
        <v>5</v>
      </c>
      <c r="G3" s="7" t="s">
        <v>45</v>
      </c>
    </row>
    <row r="4" customFormat="false" ht="14.25" hidden="false" customHeight="false" outlineLevel="0" collapsed="false">
      <c r="A4" s="9" t="n">
        <v>25000</v>
      </c>
      <c r="B4" s="0" t="s">
        <v>46</v>
      </c>
      <c r="E4" s="0" t="n">
        <v>990678</v>
      </c>
      <c r="F4" s="9" t="n">
        <v>84289</v>
      </c>
      <c r="G4" s="10" t="str">
        <f aca="false">VLOOKUP(F4,$A$3:$B$8,2,TRUE())</f>
        <v>Level C</v>
      </c>
    </row>
    <row r="5" customFormat="false" ht="14.25" hidden="false" customHeight="false" outlineLevel="0" collapsed="false">
      <c r="A5" s="9" t="n">
        <v>50000</v>
      </c>
      <c r="B5" s="0" t="s">
        <v>47</v>
      </c>
      <c r="E5" s="0" t="n">
        <v>830385</v>
      </c>
      <c r="F5" s="9" t="n">
        <v>137670</v>
      </c>
      <c r="G5" s="10" t="str">
        <f aca="false">VLOOKUP(F5,$A$3:$B$8,2,TRUE())</f>
        <v>Level D</v>
      </c>
    </row>
    <row r="6" customFormat="false" ht="14.25" hidden="false" customHeight="false" outlineLevel="0" collapsed="false">
      <c r="A6" s="9" t="n">
        <v>75000</v>
      </c>
      <c r="B6" s="0" t="s">
        <v>48</v>
      </c>
      <c r="E6" s="0" t="n">
        <v>795574</v>
      </c>
      <c r="F6" s="9" t="n">
        <v>190024</v>
      </c>
      <c r="G6" s="10" t="str">
        <f aca="false">VLOOKUP(F6,$A$3:$B$8,2,TRUE())</f>
        <v>Level E</v>
      </c>
    </row>
    <row r="7" customFormat="false" ht="14.25" hidden="false" customHeight="false" outlineLevel="0" collapsed="false">
      <c r="A7" s="9" t="n">
        <v>100000</v>
      </c>
      <c r="B7" s="0" t="s">
        <v>49</v>
      </c>
      <c r="E7" s="0" t="n">
        <v>580622</v>
      </c>
      <c r="F7" s="9" t="n">
        <v>122604</v>
      </c>
      <c r="G7" s="10" t="str">
        <f aca="false">VLOOKUP(F7,$A$3:$B$8,2,TRUE())</f>
        <v>Level D</v>
      </c>
    </row>
    <row r="8" customFormat="false" ht="14.25" hidden="false" customHeight="false" outlineLevel="0" collapsed="false">
      <c r="A8" s="9" t="n">
        <v>150000</v>
      </c>
      <c r="B8" s="0" t="s">
        <v>51</v>
      </c>
      <c r="E8" s="0" t="n">
        <v>549457</v>
      </c>
      <c r="F8" s="9" t="n">
        <v>111709</v>
      </c>
      <c r="G8" s="10" t="str">
        <f aca="false">VLOOKUP(F8,$A$3:$B$8,2,TRUE())</f>
        <v>Level D</v>
      </c>
    </row>
    <row r="9" customFormat="false" ht="14.25" hidden="false" customHeight="false" outlineLevel="0" collapsed="false">
      <c r="E9" s="0" t="n">
        <v>392128</v>
      </c>
      <c r="F9" s="9" t="n">
        <v>85931</v>
      </c>
      <c r="G9" s="10" t="str">
        <f aca="false">VLOOKUP(F9,$A$3:$B$8,2,TRUE())</f>
        <v>Level C</v>
      </c>
    </row>
    <row r="10" customFormat="false" ht="14.25" hidden="false" customHeight="false" outlineLevel="0" collapsed="false">
      <c r="E10" s="0" t="n">
        <v>391006</v>
      </c>
      <c r="F10" s="9" t="n">
        <v>168114</v>
      </c>
      <c r="G10" s="10" t="str">
        <f aca="false">VLOOKUP(F10,$A$3:$B$8,2,TRUE())</f>
        <v>Level E</v>
      </c>
    </row>
    <row r="11" customFormat="false" ht="14.25" hidden="false" customHeight="false" outlineLevel="0" collapsed="false">
      <c r="E11" s="0" t="n">
        <v>352711</v>
      </c>
      <c r="F11" s="9" t="n">
        <v>89627</v>
      </c>
      <c r="G11" s="10" t="str">
        <f aca="false">VLOOKUP(F11,$A$3:$B$8,2,TRUE())</f>
        <v>Level C</v>
      </c>
    </row>
    <row r="12" customFormat="false" ht="14.25" hidden="false" customHeight="false" outlineLevel="0" collapsed="false">
      <c r="E12" s="0" t="n">
        <v>253072</v>
      </c>
      <c r="F12" s="9" t="n">
        <v>149946</v>
      </c>
      <c r="G12" s="10" t="str">
        <f aca="false">VLOOKUP(F12,$A$3:$B$8,2,TRUE())</f>
        <v>Level D</v>
      </c>
    </row>
    <row r="13" customFormat="false" ht="14.25" hidden="false" customHeight="false" outlineLevel="0" collapsed="false">
      <c r="E13" s="0" t="n">
        <v>612235</v>
      </c>
      <c r="F13" s="9" t="n">
        <v>145893</v>
      </c>
      <c r="G13" s="10" t="str">
        <f aca="false">VLOOKUP(F13,$A$3:$B$8,2,TRUE())</f>
        <v>Level D</v>
      </c>
    </row>
    <row r="14" customFormat="false" ht="14.25" hidden="false" customHeight="false" outlineLevel="0" collapsed="false">
      <c r="E14" s="0" t="n">
        <v>611810</v>
      </c>
      <c r="F14" s="9" t="n">
        <v>64757</v>
      </c>
      <c r="G14" s="10" t="str">
        <f aca="false">VLOOKUP(F14,$A$3:$B$8,2,TRUE())</f>
        <v>Level B</v>
      </c>
    </row>
    <row r="15" customFormat="false" ht="14.25" hidden="false" customHeight="false" outlineLevel="0" collapsed="false">
      <c r="E15" s="0" t="n">
        <v>602693</v>
      </c>
      <c r="F15" s="9" t="n">
        <v>71478</v>
      </c>
      <c r="G15" s="10" t="str">
        <f aca="false">VLOOKUP(F15,$A$3:$B$8,2,TRUE())</f>
        <v>Level B</v>
      </c>
    </row>
    <row r="16" customFormat="false" ht="14.25" hidden="false" customHeight="false" outlineLevel="0" collapsed="false">
      <c r="E16" s="0" t="n">
        <v>110608</v>
      </c>
      <c r="F16" s="9" t="n">
        <v>131505</v>
      </c>
      <c r="G16" s="10" t="str">
        <f aca="false">VLOOKUP(F16,$A$3:$B$8,2,TRUE())</f>
        <v>Level D</v>
      </c>
    </row>
  </sheetData>
  <mergeCells count="2">
    <mergeCell ref="A1:B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2022-06-09T01:13:09Z</dcterms:created>
  <dc:creator>Chris Newman</dc:creator>
  <dc:description/>
  <dc:language>en-US</dc:language>
  <cp:lastModifiedBy/>
  <dcterms:modified xsi:type="dcterms:W3CDTF">2026-03-25T10:58:50Z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