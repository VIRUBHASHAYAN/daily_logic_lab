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Arithmatic Operators - SUM" sheetId="1" state="visible" r:id="rId3"/>
    <sheet name="Arithmatic Operators - MAX" sheetId="2" state="visible" r:id="rId4"/>
    <sheet name="Arithmatic Operators - MIN" sheetId="3" state="visible" r:id="rId5"/>
    <sheet name="Arithmatic Operators - COUNT an" sheetId="4" state="visible" r:id="rId6"/>
    <sheet name="Arithmatic Operators - AVERAGE" sheetId="5" state="visible" r:id="rId7"/>
    <sheet name="Conditional Operators - IF and " sheetId="6" state="visible" r:id="rId8"/>
    <sheet name="Conditional - SUMIF, COUNTIF an" sheetId="7" state="visible" r:id="rId9"/>
    <sheet name="Conditional Operators - SUMIFS,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<sst xmlns="http://schemas.openxmlformats.org/spreadsheetml/2006/main" count="217" uniqueCount="136">
  <si>
    <t xml:space="preserve">Name</t>
  </si>
  <si>
    <t xml:space="preserve">No. of Apples</t>
  </si>
  <si>
    <t xml:space="preserve">Guy</t>
  </si>
  <si>
    <t xml:space="preserve">Lev</t>
  </si>
  <si>
    <t xml:space="preserve">Yoav</t>
  </si>
  <si>
    <t xml:space="preserve">Yossi</t>
  </si>
  <si>
    <t xml:space="preserve">Dana</t>
  </si>
  <si>
    <t xml:space="preserve">Total</t>
  </si>
  <si>
    <t xml:space="preserve">&lt; - Insert formula here!</t>
  </si>
  <si>
    <t xml:space="preserve">Year</t>
  </si>
  <si>
    <t xml:space="preserve">Total 3 Years</t>
  </si>
  <si>
    <t xml:space="preserve">Revenue</t>
  </si>
  <si>
    <t xml:space="preserve">$60,001</t>
  </si>
  <si>
    <t xml:space="preserve">$74,989</t>
  </si>
  <si>
    <t xml:space="preserve">$90,272</t>
  </si>
  <si>
    <t xml:space="preserve">Expenses</t>
  </si>
  <si>
    <t xml:space="preserve">$43,505</t>
  </si>
  <si>
    <t xml:space="preserve">$55,629</t>
  </si>
  <si>
    <t xml:space="preserve">$66,556</t>
  </si>
  <si>
    <t xml:space="preserve">Income</t>
  </si>
  <si>
    <t xml:space="preserve">$16,496</t>
  </si>
  <si>
    <t xml:space="preserve">$19,360</t>
  </si>
  <si>
    <t xml:space="preserve">$23,716</t>
  </si>
  <si>
    <t xml:space="preserve">Max value</t>
  </si>
  <si>
    <t xml:space="preserve">MAX function</t>
  </si>
  <si>
    <t xml:space="preserve">Let's practice!</t>
  </si>
  <si>
    <t xml:space="preserve">What is the maximum value in the table above?</t>
  </si>
  <si>
    <t xml:space="preserve">Use MAX function to find out!</t>
  </si>
  <si>
    <t xml:space="preserve">&lt;&lt; Enter fomula here</t>
  </si>
  <si>
    <t xml:space="preserve">Min value</t>
  </si>
  <si>
    <t xml:space="preserve">Find the minimum value among the following cells:</t>
  </si>
  <si>
    <t xml:space="preserve">Output</t>
  </si>
  <si>
    <t xml:space="preserve">Minimum</t>
  </si>
  <si>
    <t xml:space="preserve">Please calculate how many items are in the table:</t>
  </si>
  <si>
    <t xml:space="preserve">Please calculate how many numeric values are in the table:</t>
  </si>
  <si>
    <t xml:space="preserve">Chili sauce</t>
  </si>
  <si>
    <t xml:space="preserve">BBQ sauce</t>
  </si>
  <si>
    <t xml:space="preserve">Two</t>
  </si>
  <si>
    <t xml:space="preserve">Vinaigrette sauce</t>
  </si>
  <si>
    <t xml:space="preserve">Wine sauce</t>
  </si>
  <si>
    <t xml:space="preserve">Four</t>
  </si>
  <si>
    <t xml:space="preserve">Mint sauce</t>
  </si>
  <si>
    <t xml:space="preserve">Steak sauce</t>
  </si>
  <si>
    <t xml:space="preserve">Six</t>
  </si>
  <si>
    <t xml:space="preserve">Count (COUNTA) :</t>
  </si>
  <si>
    <t xml:space="preserve">Seven</t>
  </si>
  <si>
    <t xml:space="preserve">Count (COUNT):</t>
  </si>
  <si>
    <t xml:space="preserve">Practice COUNT Function</t>
  </si>
  <si>
    <t xml:space="preserve">use Count formula to answer the question below</t>
  </si>
  <si>
    <t xml:space="preserve">.</t>
  </si>
  <si>
    <t xml:space="preserve">How many cells with numbers are there in the gray range</t>
  </si>
  <si>
    <t xml:space="preserve">&lt;&lt; enter your answer here</t>
  </si>
  <si>
    <t xml:space="preserve">What is the average age of the following people?</t>
  </si>
  <si>
    <t xml:space="preserve">Age</t>
  </si>
  <si>
    <t xml:space="preserve">Danny</t>
  </si>
  <si>
    <t xml:space="preserve">Becky</t>
  </si>
  <si>
    <t xml:space="preserve">John</t>
  </si>
  <si>
    <t xml:space="preserve">Paul</t>
  </si>
  <si>
    <t xml:space="preserve">Dean</t>
  </si>
  <si>
    <t xml:space="preserve">Jack</t>
  </si>
  <si>
    <t xml:space="preserve">Dina</t>
  </si>
  <si>
    <t xml:space="preserve">Averge:</t>
  </si>
  <si>
    <t xml:space="preserve">Grandpa John gives his kids Christmas gifts, but only if they are younger than 18.
</t>
  </si>
  <si>
    <t xml:space="preserve">Use IF function to check who’s eligible for Christmas gifts this year. Return “Yes” if he’s eligible, and “No” if he is not.</t>
  </si>
  <si>
    <t xml:space="preserve">Receives gift?</t>
  </si>
  <si>
    <t xml:space="preserve">Tommy</t>
  </si>
  <si>
    <t xml:space="preserve">Jim</t>
  </si>
  <si>
    <t xml:space="preserve">Check:</t>
  </si>
  <si>
    <t xml:space="preserve">Please insert formulas</t>
  </si>
  <si>
    <t xml:space="preserve">In UCLA online store, only full-time students with GPA over 4.5 get a discount otherwise they don't; 
 The system generates a random user - check if she/he gets a discount and return "Yes" for discount, else "No".</t>
  </si>
  <si>
    <t xml:space="preserve">DATA:</t>
  </si>
  <si>
    <t xml:space="preserve">User number</t>
  </si>
  <si>
    <t xml:space="preserve">Data always changes. Beware! 
 Make sure you use Cells reference (exmple =B9) and not hard-coded values.</t>
  </si>
  <si>
    <t xml:space="preserve">Full time/Part-Time</t>
  </si>
  <si>
    <t xml:space="preserve">Part-Time</t>
  </si>
  <si>
    <t xml:space="preserve">GPA</t>
  </si>
  <si>
    <t xml:space="preserve">&lt;= Insert formula here!</t>
  </si>
  <si>
    <t xml:space="preserve">Answer:</t>
  </si>
  <si>
    <t xml:space="preserve">(Solution in Row 70)</t>
  </si>
  <si>
    <t xml:space="preserve">Instructions: create a nested if formula where:						
1. Conditions:						
First condition Full-Time						
Second condition GPA Greater than 4.5						
2. Results:						
Gets a discount – return “Yes", otherwise “No"						
The following formula is a great example of how to use Nested If in this case. 						
=IF(B9="Full-Time",IF(B10&gt;4.5,"Yes","No"),"No")						
Alternatively, you could switch between the first and the second conditions:						
=IF(B10&gt;4.5,IF(B9="Full-Time","Yes","No"),"No")						
There are many other ways you could test 2 or more conditions! We believe that the two examples above are the easiest =)						</t>
  </si>
  <si>
    <t xml:space="preserve">What is the income of all rappers who like the yellow color?</t>
  </si>
  <si>
    <t xml:space="preserve">What is the average yearly income in Ohio?</t>
  </si>
  <si>
    <t xml:space="preserve">Rapper</t>
  </si>
  <si>
    <t xml:space="preserve">Favorite color</t>
  </si>
  <si>
    <t xml:space="preserve">Income (millions)</t>
  </si>
  <si>
    <t xml:space="preserve">State</t>
  </si>
  <si>
    <t xml:space="preserve">Employee Name</t>
  </si>
  <si>
    <t xml:space="preserve">Income (thousands)</t>
  </si>
  <si>
    <t xml:space="preserve">Biz Khalifa</t>
  </si>
  <si>
    <t xml:space="preserve">Black</t>
  </si>
  <si>
    <t xml:space="preserve">Minnesota</t>
  </si>
  <si>
    <t xml:space="preserve">Ice Cone</t>
  </si>
  <si>
    <t xml:space="preserve">Yellow</t>
  </si>
  <si>
    <t xml:space="preserve">Ohio</t>
  </si>
  <si>
    <t xml:space="preserve">Jake</t>
  </si>
  <si>
    <t xml:space="preserve">Snoop Catt</t>
  </si>
  <si>
    <t xml:space="preserve">New York</t>
  </si>
  <si>
    <t xml:space="preserve">Jill</t>
  </si>
  <si>
    <t xml:space="preserve">Cardi C</t>
  </si>
  <si>
    <t xml:space="preserve">Dilip</t>
  </si>
  <si>
    <t xml:space="preserve">Ray Z</t>
  </si>
  <si>
    <t xml:space="preserve">3Pac</t>
  </si>
  <si>
    <t xml:space="preserve">Texas</t>
  </si>
  <si>
    <t xml:space="preserve">Kumar</t>
  </si>
  <si>
    <t xml:space="preserve">Sum:</t>
  </si>
  <si>
    <t xml:space="preserve">California</t>
  </si>
  <si>
    <t xml:space="preserve">Jose</t>
  </si>
  <si>
    <t xml:space="preserve">Muhammad</t>
  </si>
  <si>
    <t xml:space="preserve">Elise</t>
  </si>
  <si>
    <t xml:space="preserve">Average income:</t>
  </si>
  <si>
    <t xml:space="preserve">&lt;= Insert formula here</t>
  </si>
  <si>
    <t xml:space="preserve">How many rappers like the color yellow?</t>
  </si>
  <si>
    <t xml:space="preserve">Count:</t>
  </si>
  <si>
    <t xml:space="preserve">SUMIFS function allows us to sum values that meet more than one criteria. Contrary to SUMIF (without S in the end) – The sum range and criteria range must be separated.</t>
  </si>
  <si>
    <t xml:space="preserve">The following table details the revenue by bank account number</t>
  </si>
  <si>
    <t xml:space="preserve">Calculate the total revenue from "Gold" accounts in the State of NY</t>
  </si>
  <si>
    <t xml:space="preserve">Account #</t>
  </si>
  <si>
    <t xml:space="preserve">Type</t>
  </si>
  <si>
    <t xml:space="preserve">Gold</t>
  </si>
  <si>
    <t xml:space="preserve">NY</t>
  </si>
  <si>
    <t xml:space="preserve">Silver</t>
  </si>
  <si>
    <t xml:space="preserve">PA</t>
  </si>
  <si>
    <t xml:space="preserve">NJ</t>
  </si>
  <si>
    <t xml:space="preserve">Bronze</t>
  </si>
  <si>
    <t xml:space="preserve">MA</t>
  </si>
  <si>
    <t xml:space="preserve">COUNTIFS function allows us to check multiple criteria within multiple columns, and to count the number of occurrences where all criteria were met.</t>
  </si>
  <si>
    <t xml:space="preserve">Use COUNTIFS to calculate the number of boys over the age of 13</t>
  </si>
  <si>
    <t xml:space="preserve">Boy/Girl</t>
  </si>
  <si>
    <t xml:space="preserve">Alex</t>
  </si>
  <si>
    <t xml:space="preserve">Boy</t>
  </si>
  <si>
    <t xml:space="preserve">Gabby</t>
  </si>
  <si>
    <t xml:space="preserve">Girl</t>
  </si>
  <si>
    <t xml:space="preserve">Kris</t>
  </si>
  <si>
    <t xml:space="preserve">Taylor</t>
  </si>
  <si>
    <t xml:space="preserve">Vic</t>
  </si>
  <si>
    <t xml:space="preserve">&lt;- Insert formula here!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</si>
</sst>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u val="single"/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6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4"/>
      <color rgb="FF333333"/>
      <name val="Calibri"/>
      <family val="0"/>
      <charset val="1"/>
    </font>
    <font>
      <u val="single"/>
      <sz val="14"/>
      <color rgb="FF3A3A3A"/>
      <name val="Cambria"/>
      <family val="0"/>
      <charset val="1"/>
    </font>
    <font>
      <sz val="14"/>
      <color rgb="FF3A3A3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C9DAF8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A3A3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excel-practice-online.com/functions/sumif-functio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4.453125" defaultRowHeight="15" customHeight="false" zeroHeight="false" outlineLevelRow="0" outlineLevelCol="0"/>
  <cols>
    <col collapsed="false" customWidth="true" hidden="false" outlineLevel="0" max="3" min="3" style="1" width="18.14"/>
  </cols>
  <sheetData>
    <row r="2" customFormat="false" ht="15" hidden="false" customHeight="false" outlineLevel="0" collapsed="false">
      <c r="A2" s="2"/>
      <c r="B2" s="3"/>
      <c r="C2" s="3"/>
      <c r="D2" s="3"/>
      <c r="E2" s="3"/>
      <c r="F2" s="4"/>
    </row>
    <row r="3" customFormat="false" ht="17.35" hidden="false" customHeight="false" outlineLevel="0" collapsed="false">
      <c r="A3" s="5"/>
      <c r="B3" s="6" t="s">
        <v>0</v>
      </c>
      <c r="C3" s="6" t="s">
        <v>1</v>
      </c>
      <c r="D3" s="7"/>
      <c r="E3" s="7"/>
      <c r="F3" s="8"/>
    </row>
    <row r="4" customFormat="false" ht="17.35" hidden="false" customHeight="false" outlineLevel="0" collapsed="false">
      <c r="A4" s="5"/>
      <c r="B4" s="7" t="s">
        <v>2</v>
      </c>
      <c r="C4" s="9" t="n">
        <v>3</v>
      </c>
      <c r="D4" s="7"/>
      <c r="E4" s="7"/>
      <c r="F4" s="8"/>
    </row>
    <row r="5" customFormat="false" ht="17.35" hidden="false" customHeight="false" outlineLevel="0" collapsed="false">
      <c r="A5" s="5"/>
      <c r="B5" s="7" t="s">
        <v>3</v>
      </c>
      <c r="C5" s="9" t="n">
        <v>5</v>
      </c>
      <c r="D5" s="7"/>
      <c r="E5" s="7"/>
      <c r="F5" s="8"/>
    </row>
    <row r="6" customFormat="false" ht="17.35" hidden="false" customHeight="false" outlineLevel="0" collapsed="false">
      <c r="A6" s="5"/>
      <c r="B6" s="7" t="s">
        <v>4</v>
      </c>
      <c r="C6" s="9" t="n">
        <v>2</v>
      </c>
      <c r="D6" s="7"/>
      <c r="E6" s="7"/>
      <c r="F6" s="8"/>
    </row>
    <row r="7" customFormat="false" ht="17.35" hidden="false" customHeight="false" outlineLevel="0" collapsed="false">
      <c r="A7" s="5"/>
      <c r="B7" s="7" t="s">
        <v>5</v>
      </c>
      <c r="C7" s="9" t="n">
        <v>6</v>
      </c>
      <c r="D7" s="7"/>
      <c r="E7" s="7"/>
      <c r="F7" s="8"/>
    </row>
    <row r="8" customFormat="false" ht="17.35" hidden="false" customHeight="false" outlineLevel="0" collapsed="false">
      <c r="A8" s="5"/>
      <c r="B8" s="7" t="s">
        <v>6</v>
      </c>
      <c r="C8" s="9" t="n">
        <v>8</v>
      </c>
      <c r="D8" s="7"/>
      <c r="E8" s="7"/>
      <c r="F8" s="8"/>
    </row>
    <row r="9" customFormat="false" ht="17.35" hidden="false" customHeight="false" outlineLevel="0" collapsed="false">
      <c r="A9" s="5"/>
      <c r="B9" s="7" t="s">
        <v>7</v>
      </c>
      <c r="C9" s="10"/>
      <c r="D9" s="7" t="s">
        <v>8</v>
      </c>
      <c r="E9" s="7"/>
      <c r="F9" s="8"/>
    </row>
    <row r="10" customFormat="false" ht="17.35" hidden="false" customHeight="false" outlineLevel="0" collapsed="false">
      <c r="A10" s="11"/>
      <c r="B10" s="12"/>
      <c r="C10" s="12"/>
      <c r="D10" s="12"/>
      <c r="E10" s="12"/>
      <c r="F10" s="13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</row>
    <row r="15" customFormat="false" ht="15" hidden="false" customHeight="false" outlineLevel="0" collapsed="false">
      <c r="A15" s="15" t="s">
        <v>9</v>
      </c>
      <c r="B15" s="16" t="n">
        <v>2016</v>
      </c>
      <c r="C15" s="16" t="n">
        <v>2017</v>
      </c>
      <c r="D15" s="16" t="n">
        <v>2018</v>
      </c>
      <c r="E15" s="15" t="s">
        <v>10</v>
      </c>
      <c r="F15" s="14"/>
    </row>
    <row r="16" customFormat="false" ht="15" hidden="false" customHeight="false" outlineLevel="0" collapsed="false">
      <c r="A16" s="15" t="s">
        <v>11</v>
      </c>
      <c r="B16" s="17" t="s">
        <v>12</v>
      </c>
      <c r="C16" s="17" t="s">
        <v>13</v>
      </c>
      <c r="D16" s="17" t="s">
        <v>14</v>
      </c>
      <c r="E16" s="18"/>
      <c r="F16" s="14"/>
    </row>
    <row r="17" customFormat="false" ht="15" hidden="false" customHeight="false" outlineLevel="0" collapsed="false">
      <c r="A17" s="15" t="s">
        <v>15</v>
      </c>
      <c r="B17" s="17" t="s">
        <v>16</v>
      </c>
      <c r="C17" s="17" t="s">
        <v>17</v>
      </c>
      <c r="D17" s="17" t="s">
        <v>18</v>
      </c>
      <c r="E17" s="18"/>
      <c r="F17" s="14"/>
    </row>
    <row r="18" customFormat="false" ht="15" hidden="false" customHeight="false" outlineLevel="0" collapsed="false">
      <c r="A18" s="15" t="s">
        <v>19</v>
      </c>
      <c r="B18" s="17" t="s">
        <v>20</v>
      </c>
      <c r="C18" s="17" t="s">
        <v>21</v>
      </c>
      <c r="D18" s="17" t="s">
        <v>22</v>
      </c>
      <c r="E18" s="18"/>
      <c r="F18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false" zeroHeight="false" outlineLevelRow="0" outlineLevelCol="0"/>
  <sheetData>
    <row r="3" customFormat="false" ht="15" hidden="false" customHeight="false" outlineLevel="0" collapsed="false">
      <c r="B3" s="19" t="s">
        <v>0</v>
      </c>
      <c r="C3" s="19" t="s">
        <v>1</v>
      </c>
      <c r="D3" s="14"/>
    </row>
    <row r="4" customFormat="false" ht="15" hidden="false" customHeight="false" outlineLevel="0" collapsed="false">
      <c r="B4" s="20" t="s">
        <v>2</v>
      </c>
      <c r="C4" s="21" t="n">
        <v>3</v>
      </c>
      <c r="D4" s="14"/>
    </row>
    <row r="5" customFormat="false" ht="15" hidden="false" customHeight="false" outlineLevel="0" collapsed="false">
      <c r="B5" s="20" t="s">
        <v>3</v>
      </c>
      <c r="C5" s="21" t="n">
        <v>5</v>
      </c>
      <c r="D5" s="14"/>
    </row>
    <row r="6" customFormat="false" ht="15" hidden="false" customHeight="false" outlineLevel="0" collapsed="false">
      <c r="B6" s="20" t="s">
        <v>4</v>
      </c>
      <c r="C6" s="21" t="n">
        <v>2</v>
      </c>
      <c r="D6" s="14"/>
    </row>
    <row r="7" customFormat="false" ht="15" hidden="false" customHeight="false" outlineLevel="0" collapsed="false">
      <c r="B7" s="20" t="s">
        <v>5</v>
      </c>
      <c r="C7" s="21" t="n">
        <v>6</v>
      </c>
      <c r="D7" s="14"/>
    </row>
    <row r="8" customFormat="false" ht="15" hidden="false" customHeight="false" outlineLevel="0" collapsed="false">
      <c r="B8" s="20" t="s">
        <v>6</v>
      </c>
      <c r="C8" s="21" t="n">
        <v>8</v>
      </c>
      <c r="D8" s="14"/>
    </row>
    <row r="9" customFormat="false" ht="15" hidden="false" customHeight="false" outlineLevel="0" collapsed="false">
      <c r="B9" s="20" t="s">
        <v>23</v>
      </c>
      <c r="C9" s="22"/>
      <c r="D9" s="15" t="s">
        <v>8</v>
      </c>
    </row>
    <row r="15" customFormat="false" ht="15" hidden="false" customHeight="false" outlineLevel="0" collapsed="false">
      <c r="B15" s="14"/>
      <c r="C15" s="23" t="s">
        <v>24</v>
      </c>
      <c r="D15" s="14"/>
      <c r="E15" s="14"/>
      <c r="F15" s="14"/>
      <c r="G15" s="14"/>
      <c r="H15" s="14"/>
    </row>
    <row r="16" customFormat="false" ht="15" hidden="false" customHeight="false" outlineLevel="0" collapsed="false">
      <c r="B16" s="14"/>
      <c r="C16" s="14" t="s">
        <v>25</v>
      </c>
      <c r="D16" s="14"/>
      <c r="E16" s="14"/>
      <c r="F16" s="14"/>
      <c r="G16" s="14"/>
      <c r="H16" s="14"/>
    </row>
    <row r="17" customFormat="false" ht="15" hidden="false" customHeight="false" outlineLevel="0" collapsed="false">
      <c r="B17" s="24"/>
      <c r="C17" s="24"/>
      <c r="D17" s="14"/>
      <c r="E17" s="14"/>
      <c r="F17" s="14"/>
      <c r="G17" s="14"/>
      <c r="H17" s="14"/>
    </row>
    <row r="18" customFormat="false" ht="15" hidden="false" customHeight="false" outlineLevel="0" collapsed="false">
      <c r="B18" s="14"/>
      <c r="C18" s="25" t="n">
        <v>67</v>
      </c>
      <c r="D18" s="26" t="n">
        <v>78</v>
      </c>
      <c r="E18" s="26" t="n">
        <v>66</v>
      </c>
      <c r="F18" s="26" t="n">
        <v>92</v>
      </c>
      <c r="G18" s="27" t="n">
        <v>27</v>
      </c>
      <c r="H18" s="14"/>
    </row>
    <row r="19" customFormat="false" ht="15" hidden="false" customHeight="false" outlineLevel="0" collapsed="false">
      <c r="B19" s="14"/>
      <c r="C19" s="28" t="n">
        <v>81</v>
      </c>
      <c r="D19" s="17" t="n">
        <v>36</v>
      </c>
      <c r="E19" s="17" t="n">
        <v>100</v>
      </c>
      <c r="F19" s="17" t="n">
        <v>85</v>
      </c>
      <c r="G19" s="29" t="n">
        <v>60</v>
      </c>
      <c r="H19" s="14"/>
    </row>
    <row r="20" customFormat="false" ht="15" hidden="false" customHeight="false" outlineLevel="0" collapsed="false">
      <c r="B20" s="14"/>
      <c r="C20" s="28" t="n">
        <v>99</v>
      </c>
      <c r="D20" s="17" t="n">
        <v>78</v>
      </c>
      <c r="E20" s="17" t="n">
        <v>91</v>
      </c>
      <c r="F20" s="17" t="n">
        <v>41</v>
      </c>
      <c r="G20" s="29" t="n">
        <v>83</v>
      </c>
      <c r="H20" s="14"/>
    </row>
    <row r="21" customFormat="false" ht="15" hidden="false" customHeight="false" outlineLevel="0" collapsed="false">
      <c r="B21" s="14"/>
      <c r="C21" s="28" t="n">
        <v>55</v>
      </c>
      <c r="D21" s="17" t="n">
        <v>8</v>
      </c>
      <c r="E21" s="17" t="n">
        <v>12</v>
      </c>
      <c r="F21" s="17" t="n">
        <v>8</v>
      </c>
      <c r="G21" s="29" t="n">
        <v>16</v>
      </c>
      <c r="H21" s="14"/>
    </row>
    <row r="22" customFormat="false" ht="15" hidden="false" customHeight="false" outlineLevel="0" collapsed="false">
      <c r="B22" s="14"/>
      <c r="C22" s="28" t="n">
        <v>21</v>
      </c>
      <c r="D22" s="17" t="n">
        <v>52</v>
      </c>
      <c r="E22" s="17" t="n">
        <v>22</v>
      </c>
      <c r="F22" s="17" t="n">
        <v>58</v>
      </c>
      <c r="G22" s="29" t="n">
        <v>13</v>
      </c>
      <c r="H22" s="14"/>
    </row>
    <row r="23" customFormat="false" ht="15" hidden="false" customHeight="false" outlineLevel="0" collapsed="false">
      <c r="B23" s="14"/>
      <c r="C23" s="28" t="n">
        <v>84</v>
      </c>
      <c r="D23" s="17" t="n">
        <v>32</v>
      </c>
      <c r="E23" s="17" t="n">
        <v>8</v>
      </c>
      <c r="F23" s="17" t="n">
        <v>30</v>
      </c>
      <c r="G23" s="29" t="n">
        <v>12</v>
      </c>
      <c r="H23" s="14"/>
    </row>
    <row r="24" customFormat="false" ht="15" hidden="false" customHeight="false" outlineLevel="0" collapsed="false">
      <c r="B24" s="14"/>
      <c r="C24" s="28" t="n">
        <v>76</v>
      </c>
      <c r="D24" s="17" t="n">
        <v>97</v>
      </c>
      <c r="E24" s="17" t="n">
        <v>96</v>
      </c>
      <c r="F24" s="17" t="n">
        <v>81</v>
      </c>
      <c r="G24" s="29" t="n">
        <v>14</v>
      </c>
      <c r="H24" s="14"/>
    </row>
    <row r="25" customFormat="false" ht="15" hidden="false" customHeight="false" outlineLevel="0" collapsed="false">
      <c r="B25" s="14"/>
      <c r="C25" s="28" t="n">
        <v>42</v>
      </c>
      <c r="D25" s="17" t="n">
        <v>38</v>
      </c>
      <c r="E25" s="17" t="n">
        <v>66</v>
      </c>
      <c r="F25" s="17" t="n">
        <v>10</v>
      </c>
      <c r="G25" s="29" t="n">
        <v>50</v>
      </c>
      <c r="H25" s="14"/>
    </row>
    <row r="26" customFormat="false" ht="15" hidden="false" customHeight="false" outlineLevel="0" collapsed="false">
      <c r="B26" s="14"/>
      <c r="C26" s="30" t="n">
        <v>28</v>
      </c>
      <c r="D26" s="31" t="n">
        <v>14</v>
      </c>
      <c r="E26" s="31" t="n">
        <v>87</v>
      </c>
      <c r="F26" s="31" t="n">
        <v>80</v>
      </c>
      <c r="G26" s="32" t="n">
        <v>24</v>
      </c>
      <c r="H26" s="14"/>
    </row>
    <row r="27" customFormat="false" ht="15" hidden="false" customHeight="false" outlineLevel="0" collapsed="false">
      <c r="B27" s="24"/>
      <c r="C27" s="24"/>
      <c r="D27" s="14"/>
      <c r="E27" s="14"/>
      <c r="F27" s="14"/>
      <c r="G27" s="14"/>
      <c r="H27" s="14"/>
    </row>
    <row r="28" customFormat="false" ht="15" hidden="false" customHeight="false" outlineLevel="0" collapsed="false">
      <c r="B28" s="14"/>
      <c r="C28" s="14" t="s">
        <v>26</v>
      </c>
      <c r="D28" s="14"/>
      <c r="E28" s="14"/>
      <c r="F28" s="14"/>
      <c r="G28" s="14"/>
      <c r="H28" s="14"/>
    </row>
    <row r="29" customFormat="false" ht="15" hidden="false" customHeight="false" outlineLevel="0" collapsed="false">
      <c r="B29" s="14"/>
      <c r="C29" s="14" t="s">
        <v>27</v>
      </c>
      <c r="D29" s="14"/>
      <c r="E29" s="14"/>
      <c r="F29" s="14"/>
      <c r="G29" s="14"/>
      <c r="H29" s="14"/>
    </row>
    <row r="30" customFormat="false" ht="15" hidden="false" customHeight="false" outlineLevel="0" collapsed="false">
      <c r="B30" s="24"/>
      <c r="C30" s="24"/>
      <c r="D30" s="14"/>
      <c r="E30" s="14"/>
      <c r="F30" s="14"/>
      <c r="G30" s="14"/>
      <c r="H30" s="14"/>
    </row>
    <row r="31" customFormat="false" ht="15" hidden="false" customHeight="false" outlineLevel="0" collapsed="false">
      <c r="B31" s="24"/>
      <c r="C31" s="24"/>
      <c r="D31" s="14"/>
      <c r="E31" s="14" t="s">
        <v>28</v>
      </c>
      <c r="F31" s="14"/>
      <c r="G31" s="14"/>
      <c r="H31" s="14"/>
    </row>
  </sheetData>
  <mergeCells count="4">
    <mergeCell ref="B17:C17"/>
    <mergeCell ref="B27:C27"/>
    <mergeCell ref="B30:C30"/>
    <mergeCell ref="B31:C3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false" zeroHeight="false" outlineLevelRow="0" outlineLevelCol="0"/>
  <sheetData>
    <row r="2" customFormat="false" ht="15" hidden="false" customHeight="false" outlineLevel="0" collapsed="false">
      <c r="B2" s="19" t="s">
        <v>0</v>
      </c>
      <c r="C2" s="19" t="s">
        <v>1</v>
      </c>
      <c r="D2" s="24"/>
      <c r="E2" s="24"/>
      <c r="F2" s="14"/>
      <c r="G2" s="14"/>
    </row>
    <row r="3" customFormat="false" ht="15" hidden="false" customHeight="false" outlineLevel="0" collapsed="false">
      <c r="B3" s="20" t="s">
        <v>2</v>
      </c>
      <c r="C3" s="21" t="n">
        <v>3</v>
      </c>
      <c r="D3" s="24"/>
      <c r="E3" s="24"/>
      <c r="F3" s="14"/>
      <c r="G3" s="14"/>
    </row>
    <row r="4" customFormat="false" ht="15" hidden="false" customHeight="false" outlineLevel="0" collapsed="false">
      <c r="B4" s="20" t="s">
        <v>3</v>
      </c>
      <c r="C4" s="21" t="n">
        <v>5</v>
      </c>
      <c r="D4" s="24"/>
      <c r="E4" s="24"/>
      <c r="F4" s="14"/>
      <c r="G4" s="14"/>
    </row>
    <row r="5" customFormat="false" ht="15" hidden="false" customHeight="false" outlineLevel="0" collapsed="false">
      <c r="B5" s="20" t="s">
        <v>4</v>
      </c>
      <c r="C5" s="21" t="n">
        <v>2</v>
      </c>
      <c r="D5" s="24"/>
      <c r="E5" s="24"/>
      <c r="F5" s="14"/>
      <c r="G5" s="14"/>
    </row>
    <row r="6" customFormat="false" ht="15" hidden="false" customHeight="false" outlineLevel="0" collapsed="false">
      <c r="B6" s="20" t="s">
        <v>5</v>
      </c>
      <c r="C6" s="21" t="n">
        <v>6</v>
      </c>
      <c r="D6" s="24"/>
      <c r="E6" s="24"/>
      <c r="F6" s="14"/>
      <c r="G6" s="14"/>
    </row>
    <row r="7" customFormat="false" ht="15" hidden="false" customHeight="false" outlineLevel="0" collapsed="false">
      <c r="B7" s="20" t="s">
        <v>6</v>
      </c>
      <c r="C7" s="21" t="n">
        <v>8</v>
      </c>
      <c r="D7" s="24"/>
      <c r="E7" s="24"/>
      <c r="F7" s="14"/>
      <c r="G7" s="14"/>
    </row>
    <row r="8" customFormat="false" ht="15" hidden="false" customHeight="false" outlineLevel="0" collapsed="false">
      <c r="B8" s="20" t="s">
        <v>29</v>
      </c>
      <c r="C8" s="22"/>
      <c r="D8" s="33" t="s">
        <v>8</v>
      </c>
      <c r="E8" s="33"/>
      <c r="F8" s="14"/>
      <c r="G8" s="14"/>
    </row>
    <row r="13" customFormat="false" ht="15" hidden="false" customHeight="false" outlineLevel="0" collapsed="false">
      <c r="B13" s="15" t="s">
        <v>30</v>
      </c>
      <c r="C13" s="14"/>
      <c r="D13" s="14"/>
      <c r="E13" s="14"/>
      <c r="F13" s="14"/>
    </row>
    <row r="14" customFormat="false" ht="15" hidden="false" customHeight="false" outlineLevel="0" collapsed="false">
      <c r="B14" s="14"/>
      <c r="C14" s="14"/>
      <c r="D14" s="14"/>
      <c r="E14" s="14"/>
      <c r="F14" s="14"/>
    </row>
    <row r="15" customFormat="false" ht="15" hidden="false" customHeight="false" outlineLevel="0" collapsed="false">
      <c r="B15" s="34" t="n">
        <v>47</v>
      </c>
      <c r="C15" s="35" t="n">
        <v>115</v>
      </c>
      <c r="D15" s="35" t="n">
        <v>290</v>
      </c>
      <c r="E15" s="35" t="n">
        <v>112</v>
      </c>
      <c r="F15" s="36" t="n">
        <v>367</v>
      </c>
    </row>
    <row r="16" customFormat="false" ht="15" hidden="false" customHeight="false" outlineLevel="0" collapsed="false">
      <c r="B16" s="37" t="n">
        <v>130</v>
      </c>
      <c r="C16" s="38" t="n">
        <v>48</v>
      </c>
      <c r="D16" s="38" t="n">
        <v>139</v>
      </c>
      <c r="E16" s="38" t="n">
        <v>352</v>
      </c>
      <c r="F16" s="39" t="n">
        <v>119</v>
      </c>
    </row>
    <row r="17" customFormat="false" ht="15" hidden="false" customHeight="false" outlineLevel="0" collapsed="false">
      <c r="B17" s="37" t="n">
        <v>324</v>
      </c>
      <c r="C17" s="38" t="n">
        <v>219</v>
      </c>
      <c r="D17" s="38" t="n">
        <v>351</v>
      </c>
      <c r="E17" s="38" t="n">
        <v>123</v>
      </c>
      <c r="F17" s="39" t="n">
        <v>372</v>
      </c>
    </row>
    <row r="18" customFormat="false" ht="15" hidden="false" customHeight="false" outlineLevel="0" collapsed="false">
      <c r="B18" s="37" t="n">
        <v>8</v>
      </c>
      <c r="C18" s="38" t="n">
        <v>11</v>
      </c>
      <c r="D18" s="38" t="n">
        <v>283</v>
      </c>
      <c r="E18" s="38" t="n">
        <v>248</v>
      </c>
      <c r="F18" s="39" t="n">
        <v>34</v>
      </c>
    </row>
    <row r="19" customFormat="false" ht="15" hidden="false" customHeight="false" outlineLevel="0" collapsed="false">
      <c r="B19" s="37" t="n">
        <v>183</v>
      </c>
      <c r="C19" s="38" t="n">
        <v>373</v>
      </c>
      <c r="D19" s="38" t="n">
        <v>200</v>
      </c>
      <c r="E19" s="38" t="n">
        <v>146</v>
      </c>
      <c r="F19" s="39" t="n">
        <v>42</v>
      </c>
    </row>
    <row r="20" customFormat="false" ht="15" hidden="false" customHeight="false" outlineLevel="0" collapsed="false">
      <c r="B20" s="37" t="n">
        <v>355</v>
      </c>
      <c r="C20" s="38" t="n">
        <v>317</v>
      </c>
      <c r="D20" s="38" t="n">
        <v>287</v>
      </c>
      <c r="E20" s="38" t="n">
        <v>94</v>
      </c>
      <c r="F20" s="39" t="n">
        <v>154</v>
      </c>
    </row>
    <row r="21" customFormat="false" ht="15" hidden="false" customHeight="false" outlineLevel="0" collapsed="false">
      <c r="B21" s="37" t="n">
        <v>371</v>
      </c>
      <c r="C21" s="38" t="n">
        <v>190</v>
      </c>
      <c r="D21" s="38" t="n">
        <v>311</v>
      </c>
      <c r="E21" s="38" t="n">
        <v>308</v>
      </c>
      <c r="F21" s="39" t="n">
        <v>31</v>
      </c>
    </row>
    <row r="22" customFormat="false" ht="15" hidden="false" customHeight="false" outlineLevel="0" collapsed="false">
      <c r="B22" s="37" t="n">
        <v>236</v>
      </c>
      <c r="C22" s="38" t="n">
        <v>89</v>
      </c>
      <c r="D22" s="38" t="n">
        <v>272</v>
      </c>
      <c r="E22" s="38" t="n">
        <v>197</v>
      </c>
      <c r="F22" s="39" t="n">
        <v>98</v>
      </c>
    </row>
    <row r="23" customFormat="false" ht="15" hidden="false" customHeight="false" outlineLevel="0" collapsed="false">
      <c r="B23" s="37" t="n">
        <v>49</v>
      </c>
      <c r="C23" s="38" t="n">
        <v>97</v>
      </c>
      <c r="D23" s="38" t="n">
        <v>259</v>
      </c>
      <c r="E23" s="38" t="n">
        <v>226</v>
      </c>
      <c r="F23" s="39" t="n">
        <v>160</v>
      </c>
    </row>
    <row r="24" customFormat="false" ht="15" hidden="false" customHeight="false" outlineLevel="0" collapsed="false">
      <c r="B24" s="40" t="n">
        <v>288</v>
      </c>
      <c r="C24" s="41" t="n">
        <v>218</v>
      </c>
      <c r="D24" s="41" t="n">
        <v>351</v>
      </c>
      <c r="E24" s="41" t="n">
        <v>60</v>
      </c>
      <c r="F24" s="42" t="n">
        <v>125</v>
      </c>
    </row>
    <row r="25" customFormat="false" ht="15" hidden="false" customHeight="false" outlineLevel="0" collapsed="false">
      <c r="B25" s="14"/>
      <c r="C25" s="43" t="s">
        <v>31</v>
      </c>
      <c r="D25" s="43"/>
      <c r="E25" s="43"/>
      <c r="F25" s="14"/>
    </row>
    <row r="26" customFormat="false" ht="15" hidden="false" customHeight="false" outlineLevel="0" collapsed="false">
      <c r="B26" s="15" t="s">
        <v>32</v>
      </c>
      <c r="C26" s="21" t="n">
        <v>8</v>
      </c>
      <c r="D26" s="14"/>
      <c r="E26" s="14"/>
      <c r="F26" s="14"/>
    </row>
    <row r="27" customFormat="false" ht="15" hidden="false" customHeight="false" outlineLevel="0" collapsed="false">
      <c r="B27" s="14"/>
      <c r="C27" s="14"/>
      <c r="D27" s="14"/>
      <c r="E27" s="14"/>
      <c r="F27" s="14"/>
    </row>
    <row r="28" customFormat="false" ht="15" hidden="false" customHeight="false" outlineLevel="0" collapsed="false">
      <c r="B28" s="14"/>
      <c r="C28" s="43"/>
      <c r="D28" s="43"/>
      <c r="E28" s="43"/>
      <c r="F28" s="43"/>
    </row>
    <row r="29" customFormat="false" ht="15" hidden="false" customHeight="false" outlineLevel="0" collapsed="false">
      <c r="B29" s="14"/>
      <c r="C29" s="43"/>
      <c r="D29" s="43"/>
      <c r="E29" s="43"/>
      <c r="F29" s="43"/>
    </row>
    <row r="30" customFormat="false" ht="15" hidden="false" customHeight="false" outlineLevel="0" collapsed="false">
      <c r="B30" s="14"/>
      <c r="C30" s="14"/>
      <c r="D30" s="14"/>
      <c r="E30" s="14"/>
      <c r="F30" s="14"/>
    </row>
    <row r="31" customFormat="false" ht="15" hidden="false" customHeight="false" outlineLevel="0" collapsed="false">
      <c r="B31" s="14"/>
      <c r="C31" s="14"/>
      <c r="D31" s="14"/>
      <c r="E31" s="14"/>
      <c r="F31" s="14"/>
    </row>
  </sheetData>
  <mergeCells count="7">
    <mergeCell ref="D2:E2"/>
    <mergeCell ref="D3:E3"/>
    <mergeCell ref="D4:E4"/>
    <mergeCell ref="D5:E5"/>
    <mergeCell ref="D6:E6"/>
    <mergeCell ref="D7:E7"/>
    <mergeCell ref="D8:E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34" activeCellId="0" sqref="D34"/>
    </sheetView>
  </sheetViews>
  <sheetFormatPr defaultColWidth="14.453125" defaultRowHeight="15" customHeight="false" zeroHeight="false" outlineLevelRow="0" outlineLevelCol="0"/>
  <cols>
    <col collapsed="false" customWidth="true" hidden="false" outlineLevel="0" max="1" min="1" style="1" width="22.71"/>
    <col collapsed="false" customWidth="true" hidden="false" outlineLevel="0" max="7" min="7" style="1" width="21.16"/>
  </cols>
  <sheetData>
    <row r="1" customFormat="false" ht="17.35" hidden="false" customHeight="false" outlineLevel="0" collapsed="false">
      <c r="A1" s="44" t="s">
        <v>33</v>
      </c>
      <c r="B1" s="45"/>
      <c r="C1" s="45"/>
      <c r="G1" s="44" t="s">
        <v>34</v>
      </c>
      <c r="H1" s="45"/>
      <c r="I1" s="45"/>
      <c r="J1" s="45"/>
    </row>
    <row r="2" customFormat="false" ht="15" hidden="false" customHeight="false" outlineLevel="0" collapsed="false">
      <c r="A2" s="14"/>
      <c r="B2" s="14" t="s">
        <v>35</v>
      </c>
      <c r="C2" s="14"/>
      <c r="G2" s="14"/>
      <c r="H2" s="17" t="n">
        <v>1</v>
      </c>
      <c r="I2" s="14"/>
    </row>
    <row r="3" customFormat="false" ht="15" hidden="false" customHeight="false" outlineLevel="0" collapsed="false">
      <c r="A3" s="14"/>
      <c r="B3" s="14" t="s">
        <v>36</v>
      </c>
      <c r="C3" s="14"/>
      <c r="G3" s="14"/>
      <c r="H3" s="14" t="s">
        <v>37</v>
      </c>
      <c r="I3" s="14"/>
    </row>
    <row r="4" customFormat="false" ht="15" hidden="false" customHeight="false" outlineLevel="0" collapsed="false">
      <c r="A4" s="14"/>
      <c r="B4" s="14" t="s">
        <v>38</v>
      </c>
      <c r="C4" s="14"/>
      <c r="G4" s="14"/>
      <c r="H4" s="17" t="n">
        <v>3</v>
      </c>
      <c r="I4" s="14"/>
    </row>
    <row r="5" customFormat="false" ht="15" hidden="false" customHeight="false" outlineLevel="0" collapsed="false">
      <c r="A5" s="14"/>
      <c r="B5" s="14" t="s">
        <v>39</v>
      </c>
      <c r="C5" s="14"/>
      <c r="G5" s="14"/>
      <c r="H5" s="14" t="s">
        <v>40</v>
      </c>
      <c r="I5" s="14"/>
    </row>
    <row r="6" customFormat="false" ht="15" hidden="false" customHeight="false" outlineLevel="0" collapsed="false">
      <c r="A6" s="14"/>
      <c r="B6" s="14" t="s">
        <v>41</v>
      </c>
      <c r="C6" s="14"/>
      <c r="G6" s="14"/>
      <c r="H6" s="17" t="n">
        <v>5</v>
      </c>
      <c r="I6" s="14"/>
    </row>
    <row r="7" customFormat="false" ht="15" hidden="false" customHeight="false" outlineLevel="0" collapsed="false">
      <c r="A7" s="14"/>
      <c r="B7" s="14" t="s">
        <v>42</v>
      </c>
      <c r="C7" s="14"/>
      <c r="G7" s="14"/>
      <c r="H7" s="14" t="s">
        <v>43</v>
      </c>
      <c r="I7" s="14"/>
    </row>
    <row r="8" customFormat="false" ht="17.35" hidden="false" customHeight="false" outlineLevel="0" collapsed="false">
      <c r="A8" s="14" t="s">
        <v>44</v>
      </c>
      <c r="B8" s="22" t="n">
        <f aca="false">COUNTA(B2:B7)</f>
        <v>6</v>
      </c>
      <c r="C8" s="44" t="s">
        <v>8</v>
      </c>
      <c r="G8" s="14"/>
      <c r="H8" s="14" t="s">
        <v>45</v>
      </c>
      <c r="I8" s="14"/>
    </row>
    <row r="9" customFormat="false" ht="15" hidden="false" customHeight="false" outlineLevel="0" collapsed="false">
      <c r="G9" s="14"/>
      <c r="H9" s="17" t="n">
        <v>8</v>
      </c>
      <c r="I9" s="14"/>
    </row>
    <row r="10" customFormat="false" ht="17.35" hidden="false" customHeight="false" outlineLevel="0" collapsed="false">
      <c r="G10" s="14" t="s">
        <v>46</v>
      </c>
      <c r="H10" s="22" t="n">
        <f aca="false">COUNT(H2:H9)</f>
        <v>4</v>
      </c>
      <c r="I10" s="44" t="s">
        <v>8</v>
      </c>
    </row>
    <row r="17" customFormat="false" ht="15" hidden="false" customHeight="false" outlineLevel="0" collapsed="false">
      <c r="B17" s="14"/>
      <c r="C17" s="23" t="s">
        <v>47</v>
      </c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B18" s="14"/>
      <c r="C18" s="14" t="s">
        <v>48</v>
      </c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B19" s="14"/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B20" s="14"/>
      <c r="C20" s="46" t="n">
        <v>999</v>
      </c>
      <c r="D20" s="47" t="s">
        <v>49</v>
      </c>
      <c r="E20" s="47" t="n">
        <v>999</v>
      </c>
      <c r="F20" s="47" t="n">
        <v>999</v>
      </c>
      <c r="G20" s="47" t="s">
        <v>49</v>
      </c>
      <c r="H20" s="48" t="n">
        <v>999</v>
      </c>
      <c r="I20" s="14"/>
    </row>
    <row r="21" customFormat="false" ht="15" hidden="false" customHeight="false" outlineLevel="0" collapsed="false">
      <c r="B21" s="14"/>
      <c r="C21" s="49" t="n">
        <v>999</v>
      </c>
      <c r="D21" s="50" t="n">
        <v>999</v>
      </c>
      <c r="E21" s="50" t="n">
        <v>999</v>
      </c>
      <c r="F21" s="50" t="n">
        <v>999</v>
      </c>
      <c r="G21" s="50" t="n">
        <v>999</v>
      </c>
      <c r="H21" s="51" t="n">
        <v>999</v>
      </c>
      <c r="I21" s="14"/>
    </row>
    <row r="22" customFormat="false" ht="15" hidden="false" customHeight="false" outlineLevel="0" collapsed="false">
      <c r="B22" s="14"/>
      <c r="C22" s="49" t="s">
        <v>49</v>
      </c>
      <c r="D22" s="50" t="n">
        <v>999</v>
      </c>
      <c r="E22" s="50" t="n">
        <v>999</v>
      </c>
      <c r="F22" s="50" t="n">
        <v>999</v>
      </c>
      <c r="G22" s="50" t="n">
        <v>999</v>
      </c>
      <c r="H22" s="51" t="s">
        <v>49</v>
      </c>
      <c r="I22" s="14"/>
    </row>
    <row r="23" customFormat="false" ht="15" hidden="false" customHeight="false" outlineLevel="0" collapsed="false">
      <c r="B23" s="14"/>
      <c r="C23" s="49" t="n">
        <v>999</v>
      </c>
      <c r="D23" s="50" t="n">
        <v>999</v>
      </c>
      <c r="E23" s="50" t="n">
        <v>999</v>
      </c>
      <c r="F23" s="50" t="n">
        <v>999</v>
      </c>
      <c r="G23" s="50" t="n">
        <v>999</v>
      </c>
      <c r="H23" s="51" t="n">
        <v>999</v>
      </c>
      <c r="I23" s="14"/>
    </row>
    <row r="24" customFormat="false" ht="15" hidden="false" customHeight="false" outlineLevel="0" collapsed="false">
      <c r="B24" s="14"/>
      <c r="C24" s="49" t="n">
        <v>999</v>
      </c>
      <c r="D24" s="50" t="n">
        <v>999</v>
      </c>
      <c r="E24" s="50" t="n">
        <v>999</v>
      </c>
      <c r="F24" s="50" t="n">
        <v>999</v>
      </c>
      <c r="G24" s="50" t="n">
        <v>999</v>
      </c>
      <c r="H24" s="51" t="n">
        <v>999</v>
      </c>
      <c r="I24" s="14"/>
    </row>
    <row r="25" customFormat="false" ht="15" hidden="false" customHeight="false" outlineLevel="0" collapsed="false">
      <c r="B25" s="14"/>
      <c r="C25" s="49" t="n">
        <v>999</v>
      </c>
      <c r="D25" s="50" t="n">
        <v>999</v>
      </c>
      <c r="E25" s="50" t="n">
        <v>999</v>
      </c>
      <c r="F25" s="50" t="n">
        <v>999</v>
      </c>
      <c r="G25" s="50" t="n">
        <v>999</v>
      </c>
      <c r="H25" s="51" t="n">
        <v>999</v>
      </c>
      <c r="I25" s="14"/>
    </row>
    <row r="26" customFormat="false" ht="15" hidden="false" customHeight="false" outlineLevel="0" collapsed="false">
      <c r="B26" s="14"/>
      <c r="C26" s="49" t="n">
        <v>999</v>
      </c>
      <c r="D26" s="50" t="n">
        <v>999</v>
      </c>
      <c r="E26" s="50" t="n">
        <v>999</v>
      </c>
      <c r="F26" s="50" t="n">
        <v>999</v>
      </c>
      <c r="G26" s="50" t="n">
        <v>999</v>
      </c>
      <c r="H26" s="51" t="n">
        <v>999</v>
      </c>
      <c r="I26" s="14"/>
    </row>
    <row r="27" customFormat="false" ht="15" hidden="false" customHeight="false" outlineLevel="0" collapsed="false">
      <c r="B27" s="14"/>
      <c r="C27" s="49" t="s">
        <v>49</v>
      </c>
      <c r="D27" s="50" t="n">
        <v>999</v>
      </c>
      <c r="E27" s="50" t="n">
        <v>999</v>
      </c>
      <c r="F27" s="50" t="n">
        <v>999</v>
      </c>
      <c r="G27" s="50" t="n">
        <v>999</v>
      </c>
      <c r="H27" s="51" t="s">
        <v>49</v>
      </c>
      <c r="I27" s="14"/>
    </row>
    <row r="28" customFormat="false" ht="15" hidden="false" customHeight="false" outlineLevel="0" collapsed="false">
      <c r="B28" s="14"/>
      <c r="C28" s="49" t="n">
        <v>999</v>
      </c>
      <c r="D28" s="50" t="n">
        <v>999</v>
      </c>
      <c r="E28" s="50" t="n">
        <v>999</v>
      </c>
      <c r="F28" s="50" t="n">
        <v>999</v>
      </c>
      <c r="G28" s="50" t="n">
        <v>999</v>
      </c>
      <c r="H28" s="51" t="n">
        <v>999</v>
      </c>
      <c r="I28" s="14"/>
    </row>
    <row r="29" customFormat="false" ht="15" hidden="false" customHeight="false" outlineLevel="0" collapsed="false">
      <c r="B29" s="14"/>
      <c r="C29" s="52" t="n">
        <v>999</v>
      </c>
      <c r="D29" s="53" t="s">
        <v>49</v>
      </c>
      <c r="E29" s="53" t="n">
        <v>999</v>
      </c>
      <c r="F29" s="53" t="n">
        <v>999</v>
      </c>
      <c r="G29" s="53" t="s">
        <v>49</v>
      </c>
      <c r="H29" s="54" t="n">
        <v>999</v>
      </c>
      <c r="I29" s="14"/>
    </row>
    <row r="30" customFormat="false" ht="15" hidden="false" customHeight="false" outlineLevel="0" collapsed="false">
      <c r="B30" s="14"/>
      <c r="C30" s="14"/>
      <c r="D30" s="14"/>
      <c r="E30" s="14"/>
      <c r="F30" s="14"/>
      <c r="G30" s="14"/>
      <c r="H30" s="14"/>
      <c r="I30" s="14"/>
    </row>
    <row r="31" customFormat="false" ht="15" hidden="false" customHeight="false" outlineLevel="0" collapsed="false">
      <c r="B31" s="14"/>
      <c r="C31" s="15" t="s">
        <v>50</v>
      </c>
      <c r="D31" s="14"/>
      <c r="E31" s="14"/>
      <c r="F31" s="14"/>
      <c r="G31" s="14"/>
      <c r="H31" s="14"/>
      <c r="I31" s="14"/>
    </row>
    <row r="32" customFormat="false" ht="15" hidden="false" customHeight="false" outlineLevel="0" collapsed="false">
      <c r="B32" s="14"/>
      <c r="C32" s="55" t="n">
        <f aca="false">COUNT(C20:H29)</f>
        <v>52</v>
      </c>
      <c r="D32" s="14" t="s">
        <v>51</v>
      </c>
      <c r="E32" s="14"/>
      <c r="F32" s="14"/>
      <c r="G32" s="56"/>
      <c r="H32" s="14"/>
      <c r="I32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4.453125" defaultRowHeight="15" customHeight="false" zeroHeight="false" outlineLevelRow="0" outlineLevelCol="0"/>
  <sheetData>
    <row r="1" customFormat="false" ht="15" hidden="false" customHeight="false" outlineLevel="0" collapsed="false">
      <c r="A1" s="15" t="s">
        <v>52</v>
      </c>
      <c r="B1" s="14"/>
      <c r="C1" s="14"/>
    </row>
    <row r="2" customFormat="false" ht="15" hidden="false" customHeight="false" outlineLevel="0" collapsed="false">
      <c r="A2" s="15" t="s">
        <v>0</v>
      </c>
      <c r="B2" s="15" t="s">
        <v>53</v>
      </c>
      <c r="C2" s="14"/>
    </row>
    <row r="3" customFormat="false" ht="15" hidden="false" customHeight="false" outlineLevel="0" collapsed="false">
      <c r="A3" s="14" t="s">
        <v>54</v>
      </c>
      <c r="B3" s="17" t="n">
        <v>20</v>
      </c>
      <c r="C3" s="14"/>
    </row>
    <row r="4" customFormat="false" ht="15" hidden="false" customHeight="false" outlineLevel="0" collapsed="false">
      <c r="A4" s="14" t="s">
        <v>55</v>
      </c>
      <c r="B4" s="17" t="n">
        <v>16</v>
      </c>
      <c r="C4" s="14"/>
    </row>
    <row r="5" customFormat="false" ht="15" hidden="false" customHeight="false" outlineLevel="0" collapsed="false">
      <c r="A5" s="14" t="s">
        <v>56</v>
      </c>
      <c r="B5" s="17" t="n">
        <v>19</v>
      </c>
      <c r="C5" s="14"/>
    </row>
    <row r="6" customFormat="false" ht="15" hidden="false" customHeight="false" outlineLevel="0" collapsed="false">
      <c r="A6" s="14" t="s">
        <v>57</v>
      </c>
      <c r="B6" s="17" t="n">
        <v>3</v>
      </c>
      <c r="C6" s="14"/>
    </row>
    <row r="7" customFormat="false" ht="15" hidden="false" customHeight="false" outlineLevel="0" collapsed="false">
      <c r="A7" s="14" t="s">
        <v>58</v>
      </c>
      <c r="B7" s="17" t="n">
        <v>9</v>
      </c>
      <c r="C7" s="14"/>
    </row>
    <row r="8" customFormat="false" ht="15" hidden="false" customHeight="false" outlineLevel="0" collapsed="false">
      <c r="A8" s="14" t="s">
        <v>59</v>
      </c>
      <c r="B8" s="17" t="n">
        <v>7</v>
      </c>
      <c r="C8" s="14"/>
    </row>
    <row r="9" customFormat="false" ht="15" hidden="false" customHeight="false" outlineLevel="0" collapsed="false">
      <c r="A9" s="14" t="s">
        <v>60</v>
      </c>
      <c r="B9" s="17" t="n">
        <v>12</v>
      </c>
      <c r="C9" s="14"/>
    </row>
    <row r="10" customFormat="false" ht="15" hidden="false" customHeight="false" outlineLevel="0" collapsed="false">
      <c r="A10" s="14" t="s">
        <v>61</v>
      </c>
      <c r="B10" s="57" t="n">
        <f aca="false">AVERAGE(B3:B9)</f>
        <v>12.2857142857143</v>
      </c>
      <c r="C10" s="15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J70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E41" activeCellId="0" sqref="E41"/>
    </sheetView>
  </sheetViews>
  <sheetFormatPr defaultColWidth="14.453125" defaultRowHeight="15" customHeight="false" zeroHeight="false" outlineLevelRow="0" outlineLevelCol="0"/>
  <cols>
    <col collapsed="false" customWidth="true" hidden="false" outlineLevel="0" max="3" min="3" style="1" width="34.7"/>
    <col collapsed="false" customWidth="true" hidden="false" outlineLevel="0" max="6" min="6" style="1" width="21"/>
    <col collapsed="false" customWidth="true" hidden="false" outlineLevel="0" max="7" min="7" style="1" width="32.86"/>
    <col collapsed="false" customWidth="true" hidden="false" outlineLevel="0" max="10" min="10" style="1" width="44"/>
  </cols>
  <sheetData>
    <row r="3" customFormat="false" ht="6" hidden="false" customHeight="true" outlineLevel="0" collapsed="false"/>
    <row r="4" customFormat="false" ht="15" hidden="false" customHeight="true" outlineLevel="0" collapsed="false">
      <c r="D4" s="58" t="s">
        <v>62</v>
      </c>
      <c r="E4" s="58"/>
      <c r="F4" s="58"/>
      <c r="G4" s="58"/>
      <c r="H4" s="58"/>
      <c r="I4" s="58"/>
      <c r="J4" s="58"/>
    </row>
    <row r="5" customFormat="false" ht="47.55" hidden="false" customHeight="true" outlineLevel="0" collapsed="false">
      <c r="D5" s="58"/>
      <c r="E5" s="58"/>
      <c r="F5" s="58"/>
      <c r="G5" s="58"/>
      <c r="H5" s="58"/>
      <c r="I5" s="58"/>
      <c r="J5" s="58"/>
    </row>
    <row r="6" customFormat="false" ht="15" hidden="false" customHeight="false" outlineLevel="0" collapsed="false">
      <c r="D6" s="59"/>
      <c r="E6" s="60"/>
      <c r="F6" s="60"/>
      <c r="G6" s="60"/>
      <c r="H6" s="60"/>
      <c r="I6" s="60"/>
      <c r="J6" s="61"/>
    </row>
    <row r="7" customFormat="false" ht="15" hidden="false" customHeight="false" outlineLevel="0" collapsed="false">
      <c r="D7" s="62" t="s">
        <v>63</v>
      </c>
      <c r="E7" s="62"/>
      <c r="F7" s="62"/>
      <c r="G7" s="62"/>
      <c r="H7" s="62"/>
      <c r="I7" s="62"/>
      <c r="J7" s="62"/>
    </row>
    <row r="8" customFormat="false" ht="1.5" hidden="false" customHeight="true" outlineLevel="0" collapsed="false">
      <c r="D8" s="62"/>
      <c r="E8" s="62"/>
      <c r="F8" s="62"/>
      <c r="G8" s="62"/>
      <c r="H8" s="62"/>
      <c r="I8" s="62"/>
      <c r="J8" s="62"/>
    </row>
    <row r="10" customFormat="false" ht="15" hidden="false" customHeight="false" outlineLevel="0" collapsed="false">
      <c r="D10" s="63"/>
      <c r="E10" s="64"/>
      <c r="F10" s="65"/>
      <c r="G10" s="65"/>
      <c r="H10" s="3"/>
      <c r="I10" s="4"/>
    </row>
    <row r="11" customFormat="false" ht="15" hidden="false" customHeight="false" outlineLevel="0" collapsed="false">
      <c r="D11" s="66"/>
      <c r="E11" s="15" t="s">
        <v>0</v>
      </c>
      <c r="F11" s="15" t="s">
        <v>53</v>
      </c>
      <c r="G11" s="15" t="s">
        <v>64</v>
      </c>
      <c r="I11" s="67"/>
    </row>
    <row r="12" customFormat="false" ht="15" hidden="false" customHeight="false" outlineLevel="0" collapsed="false">
      <c r="D12" s="66"/>
      <c r="E12" s="14" t="s">
        <v>65</v>
      </c>
      <c r="F12" s="17" t="n">
        <v>12</v>
      </c>
      <c r="G12" s="68" t="str">
        <f aca="false">IF(F12&gt;18,"No","Yes")</f>
        <v>Yes</v>
      </c>
      <c r="I12" s="67"/>
    </row>
    <row r="13" customFormat="false" ht="15" hidden="false" customHeight="false" outlineLevel="0" collapsed="false">
      <c r="D13" s="66"/>
      <c r="E13" s="14" t="s">
        <v>66</v>
      </c>
      <c r="F13" s="17" t="n">
        <v>23</v>
      </c>
      <c r="G13" s="68" t="str">
        <f aca="false">IF(F13&gt;18,"No","Yes")</f>
        <v>No</v>
      </c>
      <c r="I13" s="67"/>
    </row>
    <row r="14" customFormat="false" ht="15" hidden="false" customHeight="false" outlineLevel="0" collapsed="false">
      <c r="D14" s="69"/>
      <c r="E14" s="14"/>
      <c r="F14" s="17"/>
      <c r="G14" s="17"/>
      <c r="I14" s="67"/>
    </row>
    <row r="15" customFormat="false" ht="15" hidden="false" customHeight="false" outlineLevel="0" collapsed="false">
      <c r="D15" s="66"/>
      <c r="E15" s="15" t="s">
        <v>67</v>
      </c>
      <c r="F15" s="33" t="s">
        <v>68</v>
      </c>
      <c r="G15" s="33"/>
      <c r="I15" s="67"/>
    </row>
    <row r="16" customFormat="false" ht="15" hidden="false" customHeight="false" outlineLevel="0" collapsed="false">
      <c r="D16" s="66"/>
      <c r="E16" s="14"/>
      <c r="F16" s="17"/>
      <c r="G16" s="14"/>
      <c r="I16" s="67"/>
    </row>
    <row r="17" customFormat="false" ht="15" hidden="false" customHeight="false" outlineLevel="0" collapsed="false">
      <c r="D17" s="70"/>
      <c r="E17" s="71"/>
      <c r="F17" s="31"/>
      <c r="G17" s="71"/>
      <c r="H17" s="71"/>
      <c r="I17" s="13"/>
    </row>
    <row r="18" customFormat="false" ht="15" hidden="false" customHeight="false" outlineLevel="0" collapsed="false">
      <c r="E18" s="14"/>
      <c r="F18" s="17"/>
      <c r="G18" s="14"/>
    </row>
    <row r="19" customFormat="false" ht="15" hidden="false" customHeight="false" outlineLevel="0" collapsed="false">
      <c r="E19" s="14"/>
      <c r="F19" s="72"/>
      <c r="G19" s="15"/>
    </row>
    <row r="22" customFormat="false" ht="15" hidden="false" customHeight="true" outlineLevel="0" collapsed="false">
      <c r="C22" s="73" t="s">
        <v>69</v>
      </c>
      <c r="D22" s="73"/>
      <c r="E22" s="73"/>
      <c r="F22" s="73"/>
      <c r="G22" s="73"/>
      <c r="H22" s="14"/>
    </row>
    <row r="23" customFormat="false" ht="15" hidden="false" customHeight="false" outlineLevel="0" collapsed="false">
      <c r="C23" s="73"/>
      <c r="D23" s="73"/>
      <c r="E23" s="73"/>
      <c r="F23" s="73"/>
      <c r="G23" s="73"/>
      <c r="H23" s="14"/>
    </row>
    <row r="24" customFormat="false" ht="15" hidden="false" customHeight="false" outlineLevel="0" collapsed="false">
      <c r="C24" s="73"/>
      <c r="D24" s="73"/>
      <c r="E24" s="73"/>
      <c r="F24" s="73"/>
      <c r="G24" s="73"/>
      <c r="H24" s="14"/>
    </row>
    <row r="25" customFormat="false" ht="15" hidden="false" customHeight="false" outlineLevel="0" collapsed="false">
      <c r="C25" s="73"/>
      <c r="D25" s="73"/>
      <c r="E25" s="73"/>
      <c r="F25" s="73"/>
      <c r="G25" s="73"/>
      <c r="H25" s="14"/>
    </row>
    <row r="26" customFormat="false" ht="15" hidden="false" customHeight="false" outlineLevel="0" collapsed="false">
      <c r="C26" s="14"/>
      <c r="D26" s="14"/>
      <c r="E26" s="14"/>
      <c r="F26" s="14"/>
      <c r="G26" s="14"/>
      <c r="H26" s="14"/>
    </row>
    <row r="27" customFormat="false" ht="15" hidden="false" customHeight="false" outlineLevel="0" collapsed="false">
      <c r="C27" s="14"/>
      <c r="D27" s="14"/>
      <c r="E27" s="14"/>
      <c r="F27" s="14"/>
      <c r="G27" s="14"/>
      <c r="H27" s="14"/>
    </row>
    <row r="28" customFormat="false" ht="15" hidden="false" customHeight="false" outlineLevel="0" collapsed="false">
      <c r="C28" s="74" t="s">
        <v>70</v>
      </c>
      <c r="D28" s="75"/>
      <c r="E28" s="75"/>
      <c r="F28" s="75"/>
      <c r="G28" s="75"/>
      <c r="H28" s="14"/>
    </row>
    <row r="29" customFormat="false" ht="15" hidden="false" customHeight="true" outlineLevel="0" collapsed="false">
      <c r="C29" s="76" t="s">
        <v>71</v>
      </c>
      <c r="D29" s="27" t="n">
        <v>57</v>
      </c>
      <c r="E29" s="77" t="s">
        <v>72</v>
      </c>
      <c r="F29" s="77"/>
      <c r="G29" s="77"/>
      <c r="H29" s="14"/>
    </row>
    <row r="30" customFormat="false" ht="15" hidden="false" customHeight="false" outlineLevel="0" collapsed="false">
      <c r="C30" s="66" t="s">
        <v>73</v>
      </c>
      <c r="D30" s="67" t="s">
        <v>74</v>
      </c>
      <c r="E30" s="77"/>
      <c r="F30" s="77"/>
      <c r="G30" s="77"/>
      <c r="H30" s="14"/>
    </row>
    <row r="31" customFormat="false" ht="15" hidden="false" customHeight="false" outlineLevel="0" collapsed="false">
      <c r="C31" s="70" t="s">
        <v>75</v>
      </c>
      <c r="D31" s="32" t="n">
        <v>4.55</v>
      </c>
      <c r="E31" s="77"/>
      <c r="F31" s="77"/>
      <c r="G31" s="77"/>
      <c r="H31" s="14"/>
    </row>
    <row r="32" customFormat="false" ht="15" hidden="false" customHeight="false" outlineLevel="0" collapsed="false">
      <c r="C32" s="14"/>
      <c r="D32" s="14"/>
      <c r="E32" s="14"/>
      <c r="F32" s="14"/>
      <c r="G32" s="14"/>
      <c r="H32" s="14"/>
    </row>
    <row r="33" customFormat="false" ht="15" hidden="false" customHeight="false" outlineLevel="0" collapsed="false">
      <c r="C33" s="14"/>
      <c r="D33" s="14"/>
      <c r="E33" s="78" t="s">
        <v>76</v>
      </c>
      <c r="F33" s="78"/>
      <c r="G33" s="78"/>
      <c r="H33" s="78"/>
    </row>
    <row r="34" customFormat="false" ht="15" hidden="false" customHeight="false" outlineLevel="0" collapsed="false">
      <c r="C34" s="15" t="s">
        <v>77</v>
      </c>
      <c r="D34" s="79" t="str">
        <f aca="false">IF(AND(D30 ="Full time",D31&gt;4.5), "Yes","No")</f>
        <v>No</v>
      </c>
      <c r="E34" s="78"/>
      <c r="F34" s="78"/>
      <c r="G34" s="78"/>
      <c r="H34" s="78"/>
    </row>
    <row r="35" customFormat="false" ht="15" hidden="false" customHeight="false" outlineLevel="0" collapsed="false">
      <c r="C35" s="14"/>
      <c r="D35" s="14"/>
      <c r="E35" s="78"/>
      <c r="F35" s="78"/>
      <c r="G35" s="78"/>
      <c r="H35" s="78"/>
    </row>
    <row r="36" customFormat="false" ht="15" hidden="false" customHeight="false" outlineLevel="0" collapsed="false">
      <c r="C36" s="14"/>
      <c r="D36" s="14"/>
      <c r="E36" s="15"/>
      <c r="F36" s="15"/>
      <c r="G36" s="15"/>
      <c r="H36" s="15"/>
    </row>
    <row r="37" customFormat="false" ht="15" hidden="false" customHeight="false" outlineLevel="0" collapsed="false">
      <c r="C37" s="14"/>
      <c r="D37" s="14"/>
      <c r="E37" s="15"/>
      <c r="F37" s="15"/>
      <c r="G37" s="15"/>
      <c r="H37" s="15"/>
    </row>
    <row r="38" customFormat="false" ht="15" hidden="false" customHeight="false" outlineLevel="0" collapsed="false">
      <c r="C38" s="14" t="s">
        <v>78</v>
      </c>
      <c r="D38" s="14"/>
      <c r="E38" s="14"/>
      <c r="F38" s="14"/>
      <c r="G38" s="14"/>
      <c r="H38" s="14"/>
    </row>
    <row r="39" customFormat="false" ht="15" hidden="false" customHeight="false" outlineLevel="0" collapsed="false">
      <c r="C39" s="14"/>
      <c r="D39" s="14"/>
      <c r="E39" s="14"/>
      <c r="F39" s="14"/>
      <c r="G39" s="14"/>
      <c r="H39" s="14"/>
    </row>
    <row r="67" customFormat="false" ht="15" hidden="true" customHeight="false" outlineLevel="0" collapsed="false"/>
    <row r="68" customFormat="false" ht="15" hidden="true" customHeight="false" outlineLevel="0" collapsed="false"/>
    <row r="69" customFormat="false" ht="15" hidden="true" customHeight="false" outlineLevel="0" collapsed="false"/>
    <row r="70" customFormat="false" ht="493.35" hidden="false" customHeight="false" outlineLevel="0" collapsed="false">
      <c r="C70" s="80" t="s">
        <v>79</v>
      </c>
    </row>
  </sheetData>
  <mergeCells count="6">
    <mergeCell ref="D4:J5"/>
    <mergeCell ref="D7:J8"/>
    <mergeCell ref="F15:G15"/>
    <mergeCell ref="C22:G25"/>
    <mergeCell ref="E29:G31"/>
    <mergeCell ref="E33:H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2" activeCellId="0" sqref="B22"/>
    </sheetView>
  </sheetViews>
  <sheetFormatPr defaultColWidth="14.453125" defaultRowHeight="15" customHeight="false" zeroHeight="false" outlineLevelRow="0" outlineLevelCol="0"/>
  <sheetData>
    <row r="1" customFormat="false" ht="15" hidden="false" customHeight="false" outlineLevel="0" collapsed="false">
      <c r="A1" s="15" t="s">
        <v>80</v>
      </c>
      <c r="B1" s="14"/>
      <c r="C1" s="14"/>
      <c r="D1" s="14"/>
      <c r="G1" s="15" t="s">
        <v>81</v>
      </c>
      <c r="H1" s="14"/>
      <c r="I1" s="14"/>
      <c r="J1" s="14"/>
      <c r="K1" s="14"/>
      <c r="L1" s="14"/>
    </row>
    <row r="2" customFormat="false" ht="15" hidden="false" customHeight="false" outlineLevel="0" collapsed="false">
      <c r="A2" s="15" t="s">
        <v>82</v>
      </c>
      <c r="B2" s="15" t="s">
        <v>83</v>
      </c>
      <c r="C2" s="15" t="s">
        <v>84</v>
      </c>
      <c r="D2" s="14"/>
      <c r="G2" s="15" t="s">
        <v>85</v>
      </c>
      <c r="H2" s="15" t="s">
        <v>86</v>
      </c>
      <c r="I2" s="15" t="s">
        <v>87</v>
      </c>
      <c r="J2" s="14"/>
      <c r="K2" s="14"/>
      <c r="L2" s="14"/>
    </row>
    <row r="3" customFormat="false" ht="15" hidden="false" customHeight="false" outlineLevel="0" collapsed="false">
      <c r="A3" s="14" t="s">
        <v>88</v>
      </c>
      <c r="B3" s="14" t="s">
        <v>89</v>
      </c>
      <c r="C3" s="17" t="n">
        <v>10</v>
      </c>
      <c r="D3" s="14"/>
      <c r="G3" s="14" t="s">
        <v>90</v>
      </c>
      <c r="H3" s="14" t="s">
        <v>56</v>
      </c>
      <c r="I3" s="17" t="n">
        <v>77</v>
      </c>
      <c r="J3" s="14"/>
      <c r="K3" s="14"/>
      <c r="L3" s="14"/>
    </row>
    <row r="4" customFormat="false" ht="15" hidden="false" customHeight="false" outlineLevel="0" collapsed="false">
      <c r="A4" s="14" t="s">
        <v>91</v>
      </c>
      <c r="B4" s="14" t="s">
        <v>92</v>
      </c>
      <c r="C4" s="17" t="n">
        <v>20</v>
      </c>
      <c r="D4" s="14"/>
      <c r="G4" s="14" t="s">
        <v>93</v>
      </c>
      <c r="H4" s="14" t="s">
        <v>94</v>
      </c>
      <c r="I4" s="17" t="n">
        <v>71</v>
      </c>
      <c r="J4" s="14"/>
      <c r="K4" s="14"/>
      <c r="L4" s="14"/>
    </row>
    <row r="5" customFormat="false" ht="15" hidden="false" customHeight="false" outlineLevel="0" collapsed="false">
      <c r="A5" s="14" t="s">
        <v>95</v>
      </c>
      <c r="B5" s="14" t="s">
        <v>89</v>
      </c>
      <c r="C5" s="17" t="n">
        <v>15</v>
      </c>
      <c r="D5" s="14"/>
      <c r="G5" s="14" t="s">
        <v>96</v>
      </c>
      <c r="H5" s="14" t="s">
        <v>97</v>
      </c>
      <c r="I5" s="17" t="n">
        <v>75</v>
      </c>
      <c r="J5" s="14"/>
      <c r="K5" s="14"/>
      <c r="L5" s="14"/>
    </row>
    <row r="6" customFormat="false" ht="15" hidden="false" customHeight="false" outlineLevel="0" collapsed="false">
      <c r="A6" s="14" t="s">
        <v>98</v>
      </c>
      <c r="B6" s="14" t="s">
        <v>92</v>
      </c>
      <c r="C6" s="17" t="n">
        <v>17</v>
      </c>
      <c r="D6" s="14"/>
      <c r="G6" s="14" t="s">
        <v>90</v>
      </c>
      <c r="H6" s="14" t="s">
        <v>99</v>
      </c>
      <c r="I6" s="17" t="n">
        <v>67</v>
      </c>
      <c r="J6" s="14"/>
      <c r="K6" s="14"/>
      <c r="L6" s="14"/>
    </row>
    <row r="7" customFormat="false" ht="15" hidden="false" customHeight="false" outlineLevel="0" collapsed="false">
      <c r="A7" s="14" t="s">
        <v>100</v>
      </c>
      <c r="B7" s="14" t="s">
        <v>89</v>
      </c>
      <c r="C7" s="17" t="n">
        <v>44</v>
      </c>
      <c r="D7" s="14"/>
      <c r="G7" s="14" t="s">
        <v>93</v>
      </c>
      <c r="H7" s="14" t="s">
        <v>6</v>
      </c>
      <c r="I7" s="17" t="n">
        <v>89</v>
      </c>
      <c r="J7" s="14"/>
      <c r="K7" s="14"/>
      <c r="L7" s="14"/>
    </row>
    <row r="8" customFormat="false" ht="15" hidden="false" customHeight="false" outlineLevel="0" collapsed="false">
      <c r="A8" s="14" t="s">
        <v>101</v>
      </c>
      <c r="B8" s="14" t="s">
        <v>92</v>
      </c>
      <c r="C8" s="17" t="n">
        <v>90</v>
      </c>
      <c r="D8" s="14"/>
      <c r="G8" s="14" t="s">
        <v>102</v>
      </c>
      <c r="H8" s="14" t="s">
        <v>103</v>
      </c>
      <c r="I8" s="17" t="n">
        <v>87</v>
      </c>
      <c r="J8" s="14"/>
      <c r="K8" s="14"/>
      <c r="L8" s="14"/>
    </row>
    <row r="9" customFormat="false" ht="15" hidden="false" customHeight="false" outlineLevel="0" collapsed="false">
      <c r="A9" s="14"/>
      <c r="B9" s="15" t="s">
        <v>104</v>
      </c>
      <c r="C9" s="81" t="n">
        <f aca="false">SUMIFS(C3:C8,B3:B8,"Yellow")</f>
        <v>127</v>
      </c>
      <c r="D9" s="15" t="s">
        <v>8</v>
      </c>
      <c r="G9" s="14" t="s">
        <v>105</v>
      </c>
      <c r="H9" s="14" t="s">
        <v>106</v>
      </c>
      <c r="I9" s="17" t="n">
        <v>77</v>
      </c>
      <c r="J9" s="14"/>
      <c r="K9" s="14"/>
      <c r="L9" s="14"/>
    </row>
    <row r="10" customFormat="false" ht="15" hidden="false" customHeight="false" outlineLevel="0" collapsed="false">
      <c r="G10" s="14" t="s">
        <v>90</v>
      </c>
      <c r="H10" s="14" t="s">
        <v>107</v>
      </c>
      <c r="I10" s="17" t="n">
        <v>60</v>
      </c>
      <c r="J10" s="14"/>
      <c r="K10" s="14"/>
      <c r="L10" s="14"/>
    </row>
    <row r="11" customFormat="false" ht="15" hidden="false" customHeight="false" outlineLevel="0" collapsed="false">
      <c r="G11" s="14" t="s">
        <v>93</v>
      </c>
      <c r="H11" s="14" t="s">
        <v>108</v>
      </c>
      <c r="I11" s="17" t="n">
        <v>83</v>
      </c>
      <c r="J11" s="14"/>
      <c r="K11" s="14"/>
      <c r="L11" s="14"/>
    </row>
    <row r="12" customFormat="false" ht="15" hidden="false" customHeight="false" outlineLevel="0" collapsed="false">
      <c r="G12" s="14"/>
      <c r="H12" s="15" t="s">
        <v>109</v>
      </c>
      <c r="I12" s="14"/>
      <c r="J12" s="14"/>
      <c r="K12" s="14"/>
      <c r="L12" s="14"/>
    </row>
    <row r="13" customFormat="false" ht="15" hidden="false" customHeight="false" outlineLevel="0" collapsed="false">
      <c r="G13" s="14"/>
      <c r="H13" s="15" t="s">
        <v>93</v>
      </c>
      <c r="I13" s="81" t="n">
        <f aca="false">SUMIFS(I3:I11,G3:G11,"Ohio")/COUNTIFS(G3:G11,"Ohio")</f>
        <v>81</v>
      </c>
      <c r="J13" s="15" t="s">
        <v>110</v>
      </c>
      <c r="K13" s="14"/>
      <c r="L13" s="14"/>
    </row>
    <row r="14" customFormat="false" ht="15" hidden="false" customHeight="false" outlineLevel="0" collapsed="false">
      <c r="A14" s="15" t="s">
        <v>111</v>
      </c>
      <c r="B14" s="14"/>
      <c r="C14" s="14"/>
      <c r="G14" s="14"/>
      <c r="H14" s="14"/>
      <c r="I14" s="14"/>
      <c r="J14" s="14"/>
      <c r="K14" s="14"/>
      <c r="L14" s="14"/>
    </row>
    <row r="15" customFormat="false" ht="15" hidden="false" customHeight="false" outlineLevel="0" collapsed="false">
      <c r="A15" s="15" t="s">
        <v>82</v>
      </c>
      <c r="B15" s="15" t="s">
        <v>83</v>
      </c>
      <c r="C15" s="14"/>
    </row>
    <row r="16" customFormat="false" ht="15" hidden="false" customHeight="false" outlineLevel="0" collapsed="false">
      <c r="A16" s="14" t="s">
        <v>88</v>
      </c>
      <c r="B16" s="14" t="s">
        <v>89</v>
      </c>
      <c r="C16" s="14"/>
    </row>
    <row r="17" customFormat="false" ht="15" hidden="false" customHeight="false" outlineLevel="0" collapsed="false">
      <c r="A17" s="14" t="s">
        <v>91</v>
      </c>
      <c r="B17" s="14" t="s">
        <v>92</v>
      </c>
      <c r="C17" s="14"/>
    </row>
    <row r="18" customFormat="false" ht="15" hidden="false" customHeight="false" outlineLevel="0" collapsed="false">
      <c r="A18" s="14" t="s">
        <v>95</v>
      </c>
      <c r="B18" s="14" t="s">
        <v>89</v>
      </c>
      <c r="C18" s="14"/>
    </row>
    <row r="19" customFormat="false" ht="15" hidden="false" customHeight="false" outlineLevel="0" collapsed="false">
      <c r="A19" s="14" t="s">
        <v>98</v>
      </c>
      <c r="B19" s="14" t="s">
        <v>92</v>
      </c>
      <c r="C19" s="14"/>
    </row>
    <row r="20" customFormat="false" ht="15" hidden="false" customHeight="false" outlineLevel="0" collapsed="false">
      <c r="A20" s="14" t="s">
        <v>100</v>
      </c>
      <c r="B20" s="14" t="s">
        <v>89</v>
      </c>
      <c r="C20" s="14"/>
    </row>
    <row r="21" customFormat="false" ht="15" hidden="false" customHeight="false" outlineLevel="0" collapsed="false">
      <c r="A21" s="14" t="s">
        <v>101</v>
      </c>
      <c r="B21" s="14" t="s">
        <v>92</v>
      </c>
      <c r="C21" s="14"/>
    </row>
    <row r="22" customFormat="false" ht="15" hidden="false" customHeight="false" outlineLevel="0" collapsed="false">
      <c r="A22" s="14" t="s">
        <v>112</v>
      </c>
      <c r="B22" s="81" t="n">
        <f aca="false">COUNTIFS(A16:B21,"Yellow")</f>
        <v>3</v>
      </c>
      <c r="C22" s="15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M3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E37" activeCellId="0" sqref="E37"/>
    </sheetView>
  </sheetViews>
  <sheetFormatPr defaultColWidth="14.453125" defaultRowHeight="15" customHeight="false" zeroHeight="false" outlineLevelRow="0" outlineLevelCol="0"/>
  <sheetData>
    <row r="3" customFormat="false" ht="17.35" hidden="false" customHeight="false" outlineLevel="0" collapsed="false">
      <c r="C3" s="82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customFormat="false" ht="17.45" hidden="false" customHeight="false" outlineLevel="0" collapsed="false">
      <c r="C4" s="83" t="s">
        <v>113</v>
      </c>
      <c r="D4" s="45"/>
      <c r="E4" s="45"/>
      <c r="F4" s="45"/>
      <c r="G4" s="45"/>
      <c r="H4" s="45"/>
      <c r="I4" s="45"/>
      <c r="J4" s="45"/>
      <c r="K4" s="45"/>
      <c r="L4" s="45"/>
      <c r="M4" s="45"/>
    </row>
    <row r="6" customFormat="false" ht="15" hidden="false" customHeight="false" outlineLevel="0" collapsed="false">
      <c r="C6" s="15" t="s">
        <v>114</v>
      </c>
      <c r="D6" s="14"/>
      <c r="E6" s="14"/>
      <c r="F6" s="14"/>
      <c r="G6" s="14"/>
      <c r="H6" s="14"/>
    </row>
    <row r="7" customFormat="false" ht="15" hidden="false" customHeight="false" outlineLevel="0" collapsed="false">
      <c r="C7" s="15" t="s">
        <v>115</v>
      </c>
      <c r="D7" s="14"/>
      <c r="E7" s="14"/>
      <c r="F7" s="14"/>
      <c r="G7" s="14"/>
      <c r="H7" s="14"/>
    </row>
    <row r="8" customFormat="false" ht="15" hidden="false" customHeight="false" outlineLevel="0" collapsed="false">
      <c r="C8" s="19" t="s">
        <v>116</v>
      </c>
      <c r="D8" s="19" t="s">
        <v>117</v>
      </c>
      <c r="E8" s="19" t="s">
        <v>85</v>
      </c>
      <c r="F8" s="19" t="s">
        <v>11</v>
      </c>
      <c r="G8" s="14"/>
      <c r="H8" s="14"/>
    </row>
    <row r="9" customFormat="false" ht="15" hidden="false" customHeight="false" outlineLevel="0" collapsed="false">
      <c r="C9" s="84" t="n">
        <v>1</v>
      </c>
      <c r="D9" s="20" t="s">
        <v>118</v>
      </c>
      <c r="E9" s="20" t="s">
        <v>119</v>
      </c>
      <c r="F9" s="85" t="n">
        <v>492</v>
      </c>
      <c r="G9" s="14"/>
      <c r="H9" s="14"/>
    </row>
    <row r="10" customFormat="false" ht="15" hidden="false" customHeight="false" outlineLevel="0" collapsed="false">
      <c r="C10" s="84" t="n">
        <v>2</v>
      </c>
      <c r="D10" s="20" t="s">
        <v>120</v>
      </c>
      <c r="E10" s="20" t="s">
        <v>121</v>
      </c>
      <c r="F10" s="85" t="n">
        <v>124</v>
      </c>
      <c r="G10" s="14"/>
      <c r="H10" s="14"/>
    </row>
    <row r="11" customFormat="false" ht="15" hidden="false" customHeight="false" outlineLevel="0" collapsed="false">
      <c r="C11" s="84" t="n">
        <v>3</v>
      </c>
      <c r="D11" s="20" t="s">
        <v>118</v>
      </c>
      <c r="E11" s="20" t="s">
        <v>122</v>
      </c>
      <c r="F11" s="85" t="n">
        <v>555</v>
      </c>
      <c r="G11" s="14"/>
      <c r="H11" s="14"/>
    </row>
    <row r="12" customFormat="false" ht="15" hidden="false" customHeight="false" outlineLevel="0" collapsed="false">
      <c r="C12" s="84" t="n">
        <v>4</v>
      </c>
      <c r="D12" s="20" t="s">
        <v>118</v>
      </c>
      <c r="E12" s="20" t="s">
        <v>119</v>
      </c>
      <c r="F12" s="85" t="n">
        <v>100</v>
      </c>
      <c r="G12" s="14"/>
      <c r="H12" s="14"/>
    </row>
    <row r="13" customFormat="false" ht="15" hidden="false" customHeight="false" outlineLevel="0" collapsed="false">
      <c r="C13" s="84" t="n">
        <v>5</v>
      </c>
      <c r="D13" s="20" t="s">
        <v>123</v>
      </c>
      <c r="E13" s="20" t="s">
        <v>119</v>
      </c>
      <c r="F13" s="85" t="n">
        <v>8</v>
      </c>
      <c r="G13" s="14"/>
      <c r="H13" s="14"/>
    </row>
    <row r="14" customFormat="false" ht="15" hidden="false" customHeight="false" outlineLevel="0" collapsed="false">
      <c r="C14" s="84" t="n">
        <v>6</v>
      </c>
      <c r="D14" s="20" t="s">
        <v>123</v>
      </c>
      <c r="E14" s="20" t="s">
        <v>124</v>
      </c>
      <c r="F14" s="85" t="n">
        <v>201</v>
      </c>
      <c r="G14" s="14"/>
      <c r="H14" s="14"/>
    </row>
    <row r="15" customFormat="false" ht="15" hidden="false" customHeight="false" outlineLevel="0" collapsed="false">
      <c r="C15" s="84" t="n">
        <v>7</v>
      </c>
      <c r="D15" s="20" t="s">
        <v>118</v>
      </c>
      <c r="E15" s="20" t="s">
        <v>119</v>
      </c>
      <c r="F15" s="85" t="n">
        <v>20</v>
      </c>
      <c r="G15" s="14"/>
      <c r="H15" s="14"/>
    </row>
    <row r="16" customFormat="false" ht="15" hidden="false" customHeight="false" outlineLevel="0" collapsed="false">
      <c r="C16" s="84" t="n">
        <v>8</v>
      </c>
      <c r="D16" s="20" t="s">
        <v>120</v>
      </c>
      <c r="E16" s="20" t="s">
        <v>121</v>
      </c>
      <c r="F16" s="85" t="n">
        <v>43</v>
      </c>
      <c r="G16" s="14"/>
      <c r="H16" s="14"/>
    </row>
    <row r="17" customFormat="false" ht="15" hidden="false" customHeight="false" outlineLevel="0" collapsed="false">
      <c r="C17" s="84" t="n">
        <v>9</v>
      </c>
      <c r="D17" s="20" t="s">
        <v>118</v>
      </c>
      <c r="E17" s="20" t="s">
        <v>121</v>
      </c>
      <c r="F17" s="85" t="n">
        <v>108</v>
      </c>
      <c r="G17" s="14"/>
      <c r="H17" s="14"/>
    </row>
    <row r="18" customFormat="false" ht="15" hidden="false" customHeight="false" outlineLevel="0" collapsed="false">
      <c r="C18" s="84" t="n">
        <v>10</v>
      </c>
      <c r="D18" s="20" t="s">
        <v>123</v>
      </c>
      <c r="E18" s="20" t="s">
        <v>122</v>
      </c>
      <c r="F18" s="85" t="n">
        <v>172</v>
      </c>
      <c r="G18" s="14"/>
      <c r="H18" s="14"/>
    </row>
    <row r="19" customFormat="false" ht="15" hidden="false" customHeight="false" outlineLevel="0" collapsed="false"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C21" s="14"/>
      <c r="D21" s="14" t="s">
        <v>77</v>
      </c>
      <c r="E21" s="81" t="n">
        <f aca="false">SUMIFS(F9:F18,D9:D18,"Gold",E9:E18,"NY")</f>
        <v>612</v>
      </c>
      <c r="F21" s="15" t="s">
        <v>110</v>
      </c>
      <c r="G21" s="14"/>
      <c r="H21" s="14"/>
    </row>
    <row r="25" customFormat="false" ht="17.35" hidden="false" customHeight="false" outlineLevel="0" collapsed="false">
      <c r="C25" s="86" t="s">
        <v>125</v>
      </c>
    </row>
    <row r="27" customFormat="false" ht="15" hidden="false" customHeight="false" outlineLevel="0" collapsed="false">
      <c r="C27" s="15" t="s">
        <v>126</v>
      </c>
      <c r="D27" s="14"/>
      <c r="E27" s="14"/>
      <c r="F27" s="14"/>
      <c r="G27" s="14"/>
      <c r="H27" s="14"/>
    </row>
    <row r="28" customFormat="false" ht="15" hidden="false" customHeight="false" outlineLevel="0" collapsed="false">
      <c r="C28" s="19" t="s">
        <v>0</v>
      </c>
      <c r="D28" s="19" t="s">
        <v>127</v>
      </c>
      <c r="E28" s="19" t="s">
        <v>53</v>
      </c>
      <c r="F28" s="14"/>
      <c r="G28" s="14"/>
      <c r="H28" s="14"/>
    </row>
    <row r="29" customFormat="false" ht="15" hidden="false" customHeight="false" outlineLevel="0" collapsed="false">
      <c r="C29" s="20" t="s">
        <v>128</v>
      </c>
      <c r="D29" s="20" t="s">
        <v>129</v>
      </c>
      <c r="E29" s="85" t="n">
        <v>12</v>
      </c>
      <c r="F29" s="14"/>
      <c r="G29" s="14"/>
      <c r="H29" s="14"/>
    </row>
    <row r="30" customFormat="false" ht="15" hidden="false" customHeight="false" outlineLevel="0" collapsed="false">
      <c r="C30" s="20" t="s">
        <v>54</v>
      </c>
      <c r="D30" s="20" t="s">
        <v>129</v>
      </c>
      <c r="E30" s="85" t="n">
        <v>14</v>
      </c>
      <c r="F30" s="14"/>
      <c r="G30" s="14"/>
      <c r="H30" s="14"/>
    </row>
    <row r="31" customFormat="false" ht="15" hidden="false" customHeight="false" outlineLevel="0" collapsed="false">
      <c r="C31" s="20" t="s">
        <v>130</v>
      </c>
      <c r="D31" s="20" t="s">
        <v>131</v>
      </c>
      <c r="E31" s="85" t="n">
        <v>24</v>
      </c>
      <c r="F31" s="14"/>
      <c r="G31" s="14"/>
      <c r="H31" s="14"/>
    </row>
    <row r="32" customFormat="false" ht="15" hidden="false" customHeight="false" outlineLevel="0" collapsed="false">
      <c r="C32" s="20" t="s">
        <v>132</v>
      </c>
      <c r="D32" s="20" t="s">
        <v>131</v>
      </c>
      <c r="E32" s="85" t="n">
        <v>32</v>
      </c>
      <c r="F32" s="14"/>
      <c r="G32" s="14"/>
      <c r="H32" s="14"/>
    </row>
    <row r="33" customFormat="false" ht="15" hidden="false" customHeight="false" outlineLevel="0" collapsed="false">
      <c r="C33" s="20" t="s">
        <v>133</v>
      </c>
      <c r="D33" s="20" t="s">
        <v>129</v>
      </c>
      <c r="E33" s="85" t="n">
        <v>12</v>
      </c>
      <c r="F33" s="14"/>
      <c r="G33" s="14"/>
      <c r="H33" s="14"/>
    </row>
    <row r="34" customFormat="false" ht="15" hidden="false" customHeight="false" outlineLevel="0" collapsed="false">
      <c r="C34" s="20" t="s">
        <v>134</v>
      </c>
      <c r="D34" s="20" t="s">
        <v>129</v>
      </c>
      <c r="E34" s="85" t="n">
        <v>17</v>
      </c>
      <c r="F34" s="14"/>
      <c r="G34" s="14"/>
      <c r="H34" s="14"/>
    </row>
    <row r="35" customFormat="false" ht="15" hidden="false" customHeight="false" outlineLevel="0" collapsed="false">
      <c r="C35" s="14"/>
      <c r="D35" s="14"/>
      <c r="E35" s="14"/>
      <c r="F35" s="14"/>
      <c r="G35" s="14"/>
      <c r="H35" s="14"/>
    </row>
    <row r="36" customFormat="false" ht="15" hidden="false" customHeight="false" outlineLevel="0" collapsed="false">
      <c r="C36" s="14"/>
      <c r="D36" s="14" t="s">
        <v>77</v>
      </c>
      <c r="E36" s="81" t="n">
        <f aca="false">COUNTIFS(E29:E34,"&gt;13",D29:D34,"Boy")</f>
        <v>2</v>
      </c>
      <c r="F36" s="15" t="s">
        <v>135</v>
      </c>
      <c r="G36" s="14"/>
      <c r="H36" s="14"/>
    </row>
  </sheetData>
  <hyperlinks>
    <hyperlink ref="C4" r:id="rId1" display="SUMIFS function allows us to sum values that meet more than one criteria. Contrary to SUMIF (without S in the end) – The sum range and criteria range must be separated.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2026-03-24T13:07:25Z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