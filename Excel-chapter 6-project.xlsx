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mc:AlternateContent xmlns:mc="http://schemas.openxmlformats.org/markup-compatibility/2006">
    <mc:Choice Requires="x15">
      <x15ac:absPath xmlns:x15ac="http://schemas.microsoft.com/office/spreadsheetml/2010/11/ac" url="C:\Users\Admin\Downloads\"/>
    </mc:Choice>
  </mc:AlternateContent>
  <xr:revisionPtr revIDLastSave="0" documentId="8_{F55E9209-B700-46B8-92E0-5AAEBCDC8F67}" xr6:coauthVersionLast="47" xr6:coauthVersionMax="47" xr10:uidLastSave="{00000000-0000-0000-0000-000000000000}"/>
  <bookViews>
    <workbookView xWindow="-108" yWindow="-108" windowWidth="23256" windowHeight="12456" tabRatio="918" firstSheet="4" activeTab="4" xr2:uid="{7B95D6C7-CEE9-468D-834A-530836DB71D7}"/>
  </bookViews>
  <sheets>
    <sheet name="swiggy_order_items" sheetId="5" r:id="rId1"/>
    <sheet name="Sheet1" sheetId="22" r:id="rId2"/>
    <sheet name="swiggy_orders" sheetId="7" r:id="rId3"/>
    <sheet name="pivot_table" sheetId="24" r:id="rId4"/>
    <sheet name="Dashboard" sheetId="26" r:id="rId5"/>
  </sheets>
  <definedNames>
    <definedName name="_xlnm._FilterDatabase" localSheetId="0" hidden="1">swiggy_order_items!$A$1:$AF$171</definedName>
    <definedName name="_xlchart.v2.0" hidden="1">pivot_table!$P$22:$P$35</definedName>
    <definedName name="_xlchart.v2.1" hidden="1">pivot_table!$Q$22:$Q$35</definedName>
    <definedName name="_xlcn.WorksheetConnection_Week2ProjectSwiggyOrderSummary.xlsxTable11" hidden="1">Table1[]</definedName>
    <definedName name="Slicer_Years__Month_Start">#N/A</definedName>
  </definedNames>
  <calcPr calcId="191028" iterateCount="1" calcOnSave="0" concurrentCalc="0"/>
  <pivotCaches>
    <pivotCache cacheId="77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Week 2 - Project - Swiggy Order Summary.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24" l="1"/>
  <c r="A28" i="24"/>
  <c r="Z2" i="7"/>
  <c r="Z3" i="7"/>
  <c r="Z4"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Z97" i="7"/>
  <c r="Z98" i="7"/>
  <c r="Z99" i="7"/>
  <c r="Z100" i="7"/>
  <c r="Z101" i="7"/>
  <c r="Z102" i="7"/>
  <c r="Z103" i="7"/>
  <c r="Z104" i="7"/>
  <c r="Z105" i="7"/>
  <c r="Z106" i="7"/>
  <c r="Z107" i="7"/>
  <c r="Z108" i="7"/>
  <c r="S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B15" i="24"/>
  <c r="A15" i="24"/>
  <c r="C15" i="24"/>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I95" i="7"/>
  <c r="I96" i="7"/>
  <c r="I97" i="7"/>
  <c r="I98" i="7"/>
  <c r="I99" i="7"/>
  <c r="I100" i="7"/>
  <c r="I101" i="7"/>
  <c r="I102" i="7"/>
  <c r="I103" i="7"/>
  <c r="I104" i="7"/>
  <c r="I105" i="7"/>
  <c r="I106" i="7"/>
  <c r="I107" i="7"/>
  <c r="I108" i="7"/>
  <c r="I94" i="7"/>
  <c r="B2" i="7"/>
  <c r="C2" i="7"/>
  <c r="B3" i="7"/>
  <c r="C3" i="7"/>
  <c r="B4" i="7"/>
  <c r="C4" i="7"/>
  <c r="B5" i="7"/>
  <c r="C5" i="7"/>
  <c r="B6" i="7"/>
  <c r="C6" i="7"/>
  <c r="B7" i="7"/>
  <c r="C7" i="7"/>
  <c r="B8" i="7"/>
  <c r="C8" i="7"/>
  <c r="B9" i="7"/>
  <c r="C9" i="7"/>
  <c r="B10" i="7"/>
  <c r="C10" i="7"/>
  <c r="B11" i="7"/>
  <c r="C11" i="7"/>
  <c r="B12" i="7"/>
  <c r="C12" i="7"/>
  <c r="B13" i="7"/>
  <c r="C13" i="7"/>
  <c r="B14" i="7"/>
  <c r="C14" i="7"/>
  <c r="B15" i="7"/>
  <c r="C15" i="7"/>
  <c r="B16" i="7"/>
  <c r="C16" i="7"/>
  <c r="B17" i="7"/>
  <c r="C17" i="7"/>
  <c r="B18" i="7"/>
  <c r="C18" i="7"/>
  <c r="B19" i="7"/>
  <c r="C19" i="7"/>
  <c r="B20" i="7"/>
  <c r="C20" i="7"/>
  <c r="B21" i="7"/>
  <c r="C21" i="7"/>
  <c r="B22" i="7"/>
  <c r="C22" i="7"/>
  <c r="B23" i="7"/>
  <c r="C23" i="7"/>
  <c r="B24" i="7"/>
  <c r="C24" i="7"/>
  <c r="B25" i="7"/>
  <c r="C25" i="7"/>
  <c r="B26" i="7"/>
  <c r="C26" i="7"/>
  <c r="B27" i="7"/>
  <c r="C27" i="7"/>
  <c r="B28" i="7"/>
  <c r="C28" i="7"/>
  <c r="B29" i="7"/>
  <c r="C29" i="7"/>
  <c r="B30" i="7"/>
  <c r="C30" i="7"/>
  <c r="B31" i="7"/>
  <c r="C31" i="7"/>
  <c r="B32" i="7"/>
  <c r="C32" i="7"/>
  <c r="B33" i="7"/>
  <c r="C33" i="7"/>
  <c r="B34" i="7"/>
  <c r="C34" i="7"/>
  <c r="B35" i="7"/>
  <c r="C35" i="7"/>
  <c r="B36" i="7"/>
  <c r="C36" i="7"/>
  <c r="B37" i="7"/>
  <c r="C37" i="7"/>
  <c r="B38" i="7"/>
  <c r="C38" i="7"/>
  <c r="B39" i="7"/>
  <c r="C39" i="7"/>
  <c r="B40" i="7"/>
  <c r="C40" i="7"/>
  <c r="B41" i="7"/>
  <c r="C41" i="7"/>
  <c r="B42" i="7"/>
  <c r="C42" i="7"/>
  <c r="B43" i="7"/>
  <c r="C43" i="7"/>
  <c r="B44" i="7"/>
  <c r="C44" i="7"/>
  <c r="B45" i="7"/>
  <c r="C45" i="7"/>
  <c r="B46" i="7"/>
  <c r="C46" i="7"/>
  <c r="B47" i="7"/>
  <c r="C47" i="7"/>
  <c r="B48" i="7"/>
  <c r="C48" i="7"/>
  <c r="B49" i="7"/>
  <c r="C49" i="7"/>
  <c r="B50" i="7"/>
  <c r="C50" i="7"/>
  <c r="B51" i="7"/>
  <c r="C51" i="7"/>
  <c r="B52" i="7"/>
  <c r="C52" i="7"/>
  <c r="B53" i="7"/>
  <c r="C53" i="7"/>
  <c r="B54" i="7"/>
  <c r="C54" i="7"/>
  <c r="B55" i="7"/>
  <c r="C55" i="7"/>
  <c r="B56" i="7"/>
  <c r="C56" i="7"/>
  <c r="B57" i="7"/>
  <c r="C57" i="7"/>
  <c r="B58" i="7"/>
  <c r="C58" i="7"/>
  <c r="B59" i="7"/>
  <c r="C59" i="7"/>
  <c r="B60" i="7"/>
  <c r="C60" i="7"/>
  <c r="B61" i="7"/>
  <c r="C61" i="7"/>
  <c r="B62" i="7"/>
  <c r="C62" i="7"/>
  <c r="B63" i="7"/>
  <c r="C63" i="7"/>
  <c r="B64" i="7"/>
  <c r="C64" i="7"/>
  <c r="B65" i="7"/>
  <c r="C65" i="7"/>
  <c r="B66" i="7"/>
  <c r="C66" i="7"/>
  <c r="B67" i="7"/>
  <c r="C67" i="7"/>
  <c r="B68" i="7"/>
  <c r="C68" i="7"/>
  <c r="B69" i="7"/>
  <c r="C69" i="7"/>
  <c r="B70" i="7"/>
  <c r="C70" i="7"/>
  <c r="B71" i="7"/>
  <c r="C71" i="7"/>
  <c r="B72" i="7"/>
  <c r="C72" i="7"/>
  <c r="B73" i="7"/>
  <c r="C73" i="7"/>
  <c r="B74" i="7"/>
  <c r="C74" i="7"/>
  <c r="B75" i="7"/>
  <c r="C75" i="7"/>
  <c r="B76" i="7"/>
  <c r="C76" i="7"/>
  <c r="B77" i="7"/>
  <c r="C77" i="7"/>
  <c r="B78" i="7"/>
  <c r="C78" i="7"/>
  <c r="B79" i="7"/>
  <c r="C79" i="7"/>
  <c r="B80" i="7"/>
  <c r="C80" i="7"/>
  <c r="B81" i="7"/>
  <c r="C81" i="7"/>
  <c r="B82" i="7"/>
  <c r="C82" i="7"/>
  <c r="B83" i="7"/>
  <c r="C83" i="7"/>
  <c r="B84" i="7"/>
  <c r="C84" i="7"/>
  <c r="B85" i="7"/>
  <c r="C85" i="7"/>
  <c r="B86" i="7"/>
  <c r="C86" i="7"/>
  <c r="B87" i="7"/>
  <c r="C87" i="7"/>
  <c r="B88" i="7"/>
  <c r="C88" i="7"/>
  <c r="B89" i="7"/>
  <c r="C89" i="7"/>
  <c r="B90" i="7"/>
  <c r="C90" i="7"/>
  <c r="B91" i="7"/>
  <c r="C91" i="7"/>
  <c r="B92" i="7"/>
  <c r="C92" i="7"/>
  <c r="B93" i="7"/>
  <c r="C93" i="7"/>
  <c r="B94" i="7"/>
  <c r="C94" i="7"/>
  <c r="B95" i="7"/>
  <c r="C95" i="7"/>
  <c r="B96" i="7"/>
  <c r="C96" i="7"/>
  <c r="B97" i="7"/>
  <c r="C97" i="7"/>
  <c r="B98" i="7"/>
  <c r="C98" i="7"/>
  <c r="B99" i="7"/>
  <c r="C99" i="7"/>
  <c r="B100" i="7"/>
  <c r="C100" i="7"/>
  <c r="B101" i="7"/>
  <c r="C101" i="7"/>
  <c r="B102" i="7"/>
  <c r="C102" i="7"/>
  <c r="B103" i="7"/>
  <c r="C103" i="7"/>
  <c r="B104" i="7"/>
  <c r="C104" i="7"/>
  <c r="B105" i="7"/>
  <c r="C105" i="7"/>
  <c r="B106" i="7"/>
  <c r="C106" i="7"/>
  <c r="B107" i="7"/>
  <c r="C107" i="7"/>
  <c r="B108" i="7"/>
  <c r="C108" i="7"/>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2" i="5"/>
  <c r="AI3" i="7"/>
  <c r="AJ3" i="7"/>
  <c r="AI4" i="7"/>
  <c r="AJ4" i="7"/>
  <c r="AI5" i="7"/>
  <c r="AJ5" i="7"/>
  <c r="AI6" i="7"/>
  <c r="AJ6" i="7"/>
  <c r="AI7" i="7"/>
  <c r="AJ7" i="7"/>
  <c r="AI8" i="7"/>
  <c r="AJ8" i="7"/>
  <c r="AI9" i="7"/>
  <c r="AJ9" i="7"/>
  <c r="AI10" i="7"/>
  <c r="AJ10" i="7"/>
  <c r="AI11" i="7"/>
  <c r="AJ11" i="7"/>
  <c r="AI12" i="7"/>
  <c r="AJ12" i="7"/>
  <c r="AI13" i="7"/>
  <c r="AJ13" i="7"/>
  <c r="AI14" i="7"/>
  <c r="AJ14" i="7"/>
  <c r="AI15" i="7"/>
  <c r="AJ15" i="7"/>
  <c r="AI16" i="7"/>
  <c r="AJ16" i="7"/>
  <c r="AI17" i="7"/>
  <c r="AJ17" i="7"/>
  <c r="AI18" i="7"/>
  <c r="AJ18" i="7"/>
  <c r="AI19" i="7"/>
  <c r="AJ19" i="7"/>
  <c r="AI20" i="7"/>
  <c r="AJ20" i="7"/>
  <c r="AI21" i="7"/>
  <c r="AJ21" i="7"/>
  <c r="AI22" i="7"/>
  <c r="AJ22" i="7"/>
  <c r="AI23" i="7"/>
  <c r="AJ23" i="7"/>
  <c r="AI24" i="7"/>
  <c r="AJ24" i="7"/>
  <c r="AI25" i="7"/>
  <c r="AJ25" i="7"/>
  <c r="AI26" i="7"/>
  <c r="AJ26" i="7"/>
  <c r="AI27" i="7"/>
  <c r="AJ27" i="7"/>
  <c r="AI28" i="7"/>
  <c r="AJ28" i="7"/>
  <c r="AI29" i="7"/>
  <c r="AJ29" i="7"/>
  <c r="AI30" i="7"/>
  <c r="AJ30" i="7"/>
  <c r="AI31" i="7"/>
  <c r="AJ31" i="7"/>
  <c r="AI32" i="7"/>
  <c r="AJ32" i="7"/>
  <c r="AI33" i="7"/>
  <c r="AJ33" i="7"/>
  <c r="AI34" i="7"/>
  <c r="AJ34" i="7"/>
  <c r="AI35" i="7"/>
  <c r="AJ35" i="7"/>
  <c r="AI36" i="7"/>
  <c r="AJ36" i="7"/>
  <c r="AI37" i="7"/>
  <c r="AJ37" i="7"/>
  <c r="AI38" i="7"/>
  <c r="AJ38" i="7"/>
  <c r="AI39" i="7"/>
  <c r="AJ39" i="7"/>
  <c r="AI40" i="7"/>
  <c r="AJ40" i="7"/>
  <c r="AI41" i="7"/>
  <c r="AJ41" i="7"/>
  <c r="AI42" i="7"/>
  <c r="AJ42" i="7"/>
  <c r="AI43" i="7"/>
  <c r="AJ43" i="7"/>
  <c r="AI44" i="7"/>
  <c r="AJ44" i="7"/>
  <c r="AI45" i="7"/>
  <c r="AJ45" i="7"/>
  <c r="AI46" i="7"/>
  <c r="AJ46" i="7"/>
  <c r="AI47" i="7"/>
  <c r="AJ47" i="7"/>
  <c r="AI48" i="7"/>
  <c r="AJ48" i="7"/>
  <c r="AI49" i="7"/>
  <c r="AJ49" i="7"/>
  <c r="AI50" i="7"/>
  <c r="AJ50" i="7"/>
  <c r="AI51" i="7"/>
  <c r="AJ51" i="7"/>
  <c r="AI52" i="7"/>
  <c r="AJ52" i="7"/>
  <c r="AI53" i="7"/>
  <c r="AJ53" i="7"/>
  <c r="AI54" i="7"/>
  <c r="AJ54" i="7"/>
  <c r="AI55" i="7"/>
  <c r="AJ55" i="7"/>
  <c r="AI56" i="7"/>
  <c r="AJ56" i="7"/>
  <c r="AI57" i="7"/>
  <c r="AJ57" i="7"/>
  <c r="AI58" i="7"/>
  <c r="AJ58" i="7"/>
  <c r="AI59" i="7"/>
  <c r="AJ59" i="7"/>
  <c r="AI60" i="7"/>
  <c r="AJ60" i="7"/>
  <c r="AI61" i="7"/>
  <c r="AJ61" i="7"/>
  <c r="AI62" i="7"/>
  <c r="AJ62" i="7"/>
  <c r="AI63" i="7"/>
  <c r="AJ63" i="7"/>
  <c r="AI64" i="7"/>
  <c r="AJ64" i="7"/>
  <c r="AI65" i="7"/>
  <c r="AJ65" i="7"/>
  <c r="AI66" i="7"/>
  <c r="AJ66" i="7"/>
  <c r="AI67" i="7"/>
  <c r="AJ67" i="7"/>
  <c r="AI68" i="7"/>
  <c r="AJ68" i="7"/>
  <c r="AI69" i="7"/>
  <c r="AJ69" i="7"/>
  <c r="AI70" i="7"/>
  <c r="AJ70" i="7"/>
  <c r="AI71" i="7"/>
  <c r="AJ71" i="7"/>
  <c r="AI72" i="7"/>
  <c r="AJ72" i="7"/>
  <c r="AI73" i="7"/>
  <c r="AJ73" i="7"/>
  <c r="AI74" i="7"/>
  <c r="AJ74" i="7"/>
  <c r="AI75" i="7"/>
  <c r="AJ75" i="7"/>
  <c r="AI76" i="7"/>
  <c r="AJ76" i="7"/>
  <c r="AI77" i="7"/>
  <c r="AJ77" i="7"/>
  <c r="AI78" i="7"/>
  <c r="AJ78" i="7"/>
  <c r="AI79" i="7"/>
  <c r="AJ79" i="7"/>
  <c r="AI80" i="7"/>
  <c r="AJ80" i="7"/>
  <c r="AI81" i="7"/>
  <c r="AJ81" i="7"/>
  <c r="AI82" i="7"/>
  <c r="AJ82" i="7"/>
  <c r="AI83" i="7"/>
  <c r="AJ83" i="7"/>
  <c r="AI84" i="7"/>
  <c r="AJ84" i="7"/>
  <c r="AI85" i="7"/>
  <c r="AJ85" i="7"/>
  <c r="AI86" i="7"/>
  <c r="AJ86" i="7"/>
  <c r="AI87" i="7"/>
  <c r="AJ87" i="7"/>
  <c r="AI88" i="7"/>
  <c r="AJ88" i="7"/>
  <c r="AI89" i="7"/>
  <c r="AJ89" i="7"/>
  <c r="AI90" i="7"/>
  <c r="AJ90" i="7"/>
  <c r="AI91" i="7"/>
  <c r="AJ91" i="7"/>
  <c r="AI92" i="7"/>
  <c r="AJ92" i="7"/>
  <c r="AI93" i="7"/>
  <c r="AJ93" i="7"/>
  <c r="AI94" i="7"/>
  <c r="AJ94" i="7"/>
  <c r="AI95" i="7"/>
  <c r="AJ95" i="7"/>
  <c r="AI96" i="7"/>
  <c r="AJ96" i="7"/>
  <c r="AI97" i="7"/>
  <c r="AJ97" i="7"/>
  <c r="AI98" i="7"/>
  <c r="AJ98" i="7"/>
  <c r="AI99" i="7"/>
  <c r="AJ99" i="7"/>
  <c r="AI100" i="7"/>
  <c r="AJ100" i="7"/>
  <c r="AI101" i="7"/>
  <c r="AJ101" i="7"/>
  <c r="AI102" i="7"/>
  <c r="AJ102" i="7"/>
  <c r="AI103" i="7"/>
  <c r="AJ103" i="7"/>
  <c r="AI104" i="7"/>
  <c r="AJ104" i="7"/>
  <c r="AI105" i="7"/>
  <c r="AJ105" i="7"/>
  <c r="AI106" i="7"/>
  <c r="AJ106" i="7"/>
  <c r="AI107" i="7"/>
  <c r="AJ107" i="7"/>
  <c r="AI108" i="7"/>
  <c r="AJ108" i="7"/>
  <c r="AJ2" i="7"/>
  <c r="AI2" i="7"/>
  <c r="AH3" i="7"/>
  <c r="AH4" i="7"/>
  <c r="AH5" i="7"/>
  <c r="AH6" i="7"/>
  <c r="AH7" i="7"/>
  <c r="AH8" i="7"/>
  <c r="AH9" i="7"/>
  <c r="AH10" i="7"/>
  <c r="AH11" i="7"/>
  <c r="AH12" i="7"/>
  <c r="AH13" i="7"/>
  <c r="AH14" i="7"/>
  <c r="AH15" i="7"/>
  <c r="AH16" i="7"/>
  <c r="AH17" i="7"/>
  <c r="AH18" i="7"/>
  <c r="AH19" i="7"/>
  <c r="AH20" i="7"/>
  <c r="AH21" i="7"/>
  <c r="AH22" i="7"/>
  <c r="AH23" i="7"/>
  <c r="AH24" i="7"/>
  <c r="AH25" i="7"/>
  <c r="AH26" i="7"/>
  <c r="AH27" i="7"/>
  <c r="AH28" i="7"/>
  <c r="AH29" i="7"/>
  <c r="AH30" i="7"/>
  <c r="AH31" i="7"/>
  <c r="AH32" i="7"/>
  <c r="AH33" i="7"/>
  <c r="AH34" i="7"/>
  <c r="AH35" i="7"/>
  <c r="AH36" i="7"/>
  <c r="AH37" i="7"/>
  <c r="AH38" i="7"/>
  <c r="AH39" i="7"/>
  <c r="AH40" i="7"/>
  <c r="AH41" i="7"/>
  <c r="AH42" i="7"/>
  <c r="AH43" i="7"/>
  <c r="AH44" i="7"/>
  <c r="AH45" i="7"/>
  <c r="AH46" i="7"/>
  <c r="AH47" i="7"/>
  <c r="AH48" i="7"/>
  <c r="AH49" i="7"/>
  <c r="AH50" i="7"/>
  <c r="AH51" i="7"/>
  <c r="AH52" i="7"/>
  <c r="AH53" i="7"/>
  <c r="AH54" i="7"/>
  <c r="AH55" i="7"/>
  <c r="AH56" i="7"/>
  <c r="AH57" i="7"/>
  <c r="AH58" i="7"/>
  <c r="AH59" i="7"/>
  <c r="AH60" i="7"/>
  <c r="AH61" i="7"/>
  <c r="AH62" i="7"/>
  <c r="AH63" i="7"/>
  <c r="AH64" i="7"/>
  <c r="AH65" i="7"/>
  <c r="AH66" i="7"/>
  <c r="AH67" i="7"/>
  <c r="AH68" i="7"/>
  <c r="AH69" i="7"/>
  <c r="AH70" i="7"/>
  <c r="AH71" i="7"/>
  <c r="AH72" i="7"/>
  <c r="AH73" i="7"/>
  <c r="AH74" i="7"/>
  <c r="AH75" i="7"/>
  <c r="AH76" i="7"/>
  <c r="AH77" i="7"/>
  <c r="AH78" i="7"/>
  <c r="AH79" i="7"/>
  <c r="AH80" i="7"/>
  <c r="AH81" i="7"/>
  <c r="AH82" i="7"/>
  <c r="AH83" i="7"/>
  <c r="AH84" i="7"/>
  <c r="AH85" i="7"/>
  <c r="AH86" i="7"/>
  <c r="AH87" i="7"/>
  <c r="AH88" i="7"/>
  <c r="AH89" i="7"/>
  <c r="AH90" i="7"/>
  <c r="AH91" i="7"/>
  <c r="AH92" i="7"/>
  <c r="AH93" i="7"/>
  <c r="AH94" i="7"/>
  <c r="AH95" i="7"/>
  <c r="AH96" i="7"/>
  <c r="AH97" i="7"/>
  <c r="AH98" i="7"/>
  <c r="AH99" i="7"/>
  <c r="AH100" i="7"/>
  <c r="AH101" i="7"/>
  <c r="AH102" i="7"/>
  <c r="AH103" i="7"/>
  <c r="AH104" i="7"/>
  <c r="AH105" i="7"/>
  <c r="AH106" i="7"/>
  <c r="AH107" i="7"/>
  <c r="AH108" i="7"/>
  <c r="AH2" i="7"/>
  <c r="AG3" i="7"/>
  <c r="AG4" i="7"/>
  <c r="AG5" i="7"/>
  <c r="AG6" i="7"/>
  <c r="AG7" i="7"/>
  <c r="AG8" i="7"/>
  <c r="AG9" i="7"/>
  <c r="AG10" i="7"/>
  <c r="AG11" i="7"/>
  <c r="AG12" i="7"/>
  <c r="AG13" i="7"/>
  <c r="AG14" i="7"/>
  <c r="AG15" i="7"/>
  <c r="AG16" i="7"/>
  <c r="AG17" i="7"/>
  <c r="AG18" i="7"/>
  <c r="AG19" i="7"/>
  <c r="AG20" i="7"/>
  <c r="AG21" i="7"/>
  <c r="AG22" i="7"/>
  <c r="AG23" i="7"/>
  <c r="AG24" i="7"/>
  <c r="AG25" i="7"/>
  <c r="AG26" i="7"/>
  <c r="AG27" i="7"/>
  <c r="AG28" i="7"/>
  <c r="AG29" i="7"/>
  <c r="AG30" i="7"/>
  <c r="AG31" i="7"/>
  <c r="AG32" i="7"/>
  <c r="AG33" i="7"/>
  <c r="AG34" i="7"/>
  <c r="AG35" i="7"/>
  <c r="AG36" i="7"/>
  <c r="AG37" i="7"/>
  <c r="AG38" i="7"/>
  <c r="AG39" i="7"/>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2" i="7"/>
  <c r="AF3" i="7"/>
  <c r="AF4" i="7"/>
  <c r="AF5" i="7"/>
  <c r="AF6" i="7"/>
  <c r="AF7" i="7"/>
  <c r="AF8" i="7"/>
  <c r="AF9" i="7"/>
  <c r="AF10" i="7"/>
  <c r="AF11" i="7"/>
  <c r="AF12" i="7"/>
  <c r="AF13" i="7"/>
  <c r="AF14" i="7"/>
  <c r="AF15" i="7"/>
  <c r="AF16" i="7"/>
  <c r="AF17" i="7"/>
  <c r="AF18" i="7"/>
  <c r="AF19" i="7"/>
  <c r="AF20" i="7"/>
  <c r="AF21" i="7"/>
  <c r="AF22" i="7"/>
  <c r="AF23" i="7"/>
  <c r="AF24" i="7"/>
  <c r="AF25" i="7"/>
  <c r="AF26" i="7"/>
  <c r="AF27" i="7"/>
  <c r="AF28" i="7"/>
  <c r="AF29" i="7"/>
  <c r="AF30" i="7"/>
  <c r="AF31" i="7"/>
  <c r="AF32" i="7"/>
  <c r="AF33" i="7"/>
  <c r="AF34" i="7"/>
  <c r="AF35" i="7"/>
  <c r="AF36" i="7"/>
  <c r="AF37" i="7"/>
  <c r="AF38" i="7"/>
  <c r="AF39" i="7"/>
  <c r="AF40" i="7"/>
  <c r="AF41" i="7"/>
  <c r="AF42" i="7"/>
  <c r="AF43" i="7"/>
  <c r="AF44" i="7"/>
  <c r="AF45" i="7"/>
  <c r="AF46" i="7"/>
  <c r="AF47" i="7"/>
  <c r="AF48" i="7"/>
  <c r="AF49" i="7"/>
  <c r="AF50" i="7"/>
  <c r="AF51" i="7"/>
  <c r="AF52" i="7"/>
  <c r="AF53" i="7"/>
  <c r="AF54" i="7"/>
  <c r="AF55" i="7"/>
  <c r="AF56" i="7"/>
  <c r="AF57" i="7"/>
  <c r="AF58" i="7"/>
  <c r="AF59" i="7"/>
  <c r="AF60" i="7"/>
  <c r="AF61" i="7"/>
  <c r="AF62" i="7"/>
  <c r="AF63" i="7"/>
  <c r="AF64" i="7"/>
  <c r="AF65" i="7"/>
  <c r="AF66" i="7"/>
  <c r="AF67" i="7"/>
  <c r="AF68" i="7"/>
  <c r="AF69" i="7"/>
  <c r="AF70" i="7"/>
  <c r="AF71" i="7"/>
  <c r="AF72" i="7"/>
  <c r="AF73" i="7"/>
  <c r="AF74" i="7"/>
  <c r="AF75" i="7"/>
  <c r="AF76" i="7"/>
  <c r="AF77" i="7"/>
  <c r="AF78" i="7"/>
  <c r="AF79" i="7"/>
  <c r="AF80" i="7"/>
  <c r="AF81" i="7"/>
  <c r="AF82" i="7"/>
  <c r="AF83" i="7"/>
  <c r="AF84" i="7"/>
  <c r="AF85" i="7"/>
  <c r="AF86" i="7"/>
  <c r="AF87" i="7"/>
  <c r="AF88" i="7"/>
  <c r="AF89" i="7"/>
  <c r="AF90" i="7"/>
  <c r="AF91" i="7"/>
  <c r="AF92" i="7"/>
  <c r="AF93" i="7"/>
  <c r="AF94" i="7"/>
  <c r="AF95" i="7"/>
  <c r="AF96" i="7"/>
  <c r="AF97" i="7"/>
  <c r="AF98" i="7"/>
  <c r="AF99" i="7"/>
  <c r="AF100" i="7"/>
  <c r="AF101" i="7"/>
  <c r="AF102" i="7"/>
  <c r="AF103" i="7"/>
  <c r="AF104" i="7"/>
  <c r="AF105" i="7"/>
  <c r="AF106" i="7"/>
  <c r="AF107" i="7"/>
  <c r="AF108" i="7"/>
  <c r="AF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BF83E1-1D34-40B5-B419-0D7F2301F8F0}" keepAlive="1" name="Query - swiggy_orders_raw" description="Connection to the 'swiggy_orders_raw' query in the workbook." type="5" refreshedVersion="0" background="1">
    <dbPr connection="Provider=Microsoft.Mashup.OleDb.1;Data Source=$Workbook$;Location=swiggy_orders_raw;Extended Properties=&quot;&quot;" command="SELECT * FROM [swiggy_orders_raw]"/>
  </connection>
  <connection id="2" xr16:uid="{0AC2B3F0-10D6-4CBE-B513-E172ABBB20E5}" keepAlive="1" name="Query - swiggy_orders_raw_latest" description="Connection to the 'swiggy_orders_raw_latest' query in the workbook." type="5" refreshedVersion="0" background="1">
    <dbPr connection="Provider=Microsoft.Mashup.OleDb.1;Data Source=$Workbook$;Location=swiggy_orders_raw_latest;Extended Properties=&quot;&quot;" command="SELECT * FROM [swiggy_orders_raw_latest]"/>
  </connection>
  <connection id="3" xr16:uid="{3E3C03D9-2863-46CA-8C9A-261EE83B059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7390678-8CBC-4C3F-BD70-DB9FCB690975}" name="WorksheetConnection_Week 2 - Project - Swiggy Order Summary.xlsx!Table1" type="102" refreshedVersion="7" minRefreshableVersion="5">
    <extLst>
      <ext xmlns:x15="http://schemas.microsoft.com/office/spreadsheetml/2010/11/main" uri="{DE250136-89BD-433C-8126-D09CA5730AF9}">
        <x15:connection id="Table1">
          <x15:rangePr sourceName="_xlcn.WorksheetConnection_Week2ProjectSwiggyOrderSummary.xlsxTable11"/>
        </x15:connection>
      </ext>
    </extLst>
  </connection>
</connections>
</file>

<file path=xl/sharedStrings.xml><?xml version="1.0" encoding="utf-8"?>
<sst xmlns="http://schemas.openxmlformats.org/spreadsheetml/2006/main" count="1938" uniqueCount="830">
  <si>
    <t>order_id</t>
  </si>
  <si>
    <t>order_items.name</t>
  </si>
  <si>
    <t>order_items.is_veg</t>
  </si>
  <si>
    <t>order_items.quantity</t>
  </si>
  <si>
    <t>Category</t>
  </si>
  <si>
    <t>Michel (Chicken &amp; Mozza Sandwich)</t>
  </si>
  <si>
    <t>Supreme Boneless Chicken Biryani</t>
  </si>
  <si>
    <t>Mutton Bone Soup</t>
  </si>
  <si>
    <t>Mississippi Mud Pie</t>
  </si>
  <si>
    <t>Apple Crumble Pie</t>
  </si>
  <si>
    <t>Dark Chocolate Smoothie Bowl.</t>
  </si>
  <si>
    <t>Banana Peanutbutter Overnight Oats [350kcals][20gm protein]</t>
  </si>
  <si>
    <t>Chicken Kheema Lasagne</t>
  </si>
  <si>
    <t>Corn &amp; Pepper Lasagne</t>
  </si>
  <si>
    <t>Veg. Ramyun</t>
  </si>
  <si>
    <t>Chicken Katsu Ramyun</t>
  </si>
  <si>
    <t>Onion Rings</t>
  </si>
  <si>
    <t>Cajun Spiced Fries</t>
  </si>
  <si>
    <t>Special Pandi Curry Thali</t>
  </si>
  <si>
    <t>Overload Brownie [1 Piece]</t>
  </si>
  <si>
    <t>Chocolate Mousse Cup [100g]</t>
  </si>
  <si>
    <t>Millionaire Brownie [1 Piece]</t>
  </si>
  <si>
    <t>Koli Curry With Ney Kulu/Noolputtu</t>
  </si>
  <si>
    <t>Pepperoni Chicken Tikka lasagna</t>
  </si>
  <si>
    <t>Raspberry Dark Chocolate</t>
  </si>
  <si>
    <t>Dark Chocolate Chunk Sea Salt</t>
  </si>
  <si>
    <t>Smoothie Bowl Of The Day[35Gm Protein]</t>
  </si>
  <si>
    <t>Midnight Acai Delight[vegan][30-50gm Protein]</t>
  </si>
  <si>
    <t>Noolputtu (2 Pcs)</t>
  </si>
  <si>
    <t>Thith Pandi (Chilly Pork)</t>
  </si>
  <si>
    <t>Pressure Cooker Chicken Curry and Homestyle Amritsari Dal Meal</t>
  </si>
  <si>
    <t>Rasayan High Fiber Bowl[ 500gm 250kcals]</t>
  </si>
  <si>
    <t>Midnight Acai Delight [320Kcals] [25Gm-45Gm Protein]</t>
  </si>
  <si>
    <t>Wok Tossed Hakka Noodles</t>
  </si>
  <si>
    <t>Hugo (Fried Chicken &amp; Mozza Sandwich)</t>
  </si>
  <si>
    <t>Belgian Dark Chocolate Milkshake</t>
  </si>
  <si>
    <t>Chicken Fillet Burger Combo</t>
  </si>
  <si>
    <t>Single Lamb Cheese Burger</t>
  </si>
  <si>
    <t>Roasted Chicken Strip Sandwich</t>
  </si>
  <si>
    <t>B.M.T Sandwich</t>
  </si>
  <si>
    <t>High-Protein Chicken Omelette</t>
  </si>
  <si>
    <t>Chicken Pepper Dry Boneless</t>
  </si>
  <si>
    <t>Ferrero Magic</t>
  </si>
  <si>
    <t>Nutty Chocolate Sundae</t>
  </si>
  <si>
    <t>Melted Cheese Chicken Shawarma</t>
  </si>
  <si>
    <t>Nutella Cheese Cake</t>
  </si>
  <si>
    <t>Blueberry Cheese Cake</t>
  </si>
  <si>
    <t>Pork Chashu Ramyun</t>
  </si>
  <si>
    <t>Chocolate Hazelnut Cake (Nutella Cake) (Eggless)</t>
  </si>
  <si>
    <t>Tandoori Chicken Tikka Sandwich Guiltfree</t>
  </si>
  <si>
    <t>Mint Choco Chip Ice Cream [125 Ml]</t>
  </si>
  <si>
    <t>Salted Caramel Ice Cream [125 Ml]</t>
  </si>
  <si>
    <t>Lebenese Shawarma</t>
  </si>
  <si>
    <t>Mexican Green Wave Pizza</t>
  </si>
  <si>
    <t>Naked Nutella Waffle</t>
  </si>
  <si>
    <t>Salted Caramel Brownie</t>
  </si>
  <si>
    <t>Nutella Stuffed Chocochips Cookie(1 Pc)</t>
  </si>
  <si>
    <t>Chicken Kheema Cheese Paratha</t>
  </si>
  <si>
    <t>Aloo Cheese Paratha</t>
  </si>
  <si>
    <t>Big Spicy Paneer Wrap</t>
  </si>
  <si>
    <t>Trapper Creek (Buff)</t>
  </si>
  <si>
    <t>Paris Delice (Buff)</t>
  </si>
  <si>
    <t>Tandoori Chicken Tikka Cheese Pull Sandwich</t>
  </si>
  <si>
    <t>Spicy Chick'n Cheese</t>
  </si>
  <si>
    <t>Chicken Varattiyathu</t>
  </si>
  <si>
    <t>Idiyappam</t>
  </si>
  <si>
    <t>Peanut Butter &amp; Snicker Thickshake</t>
  </si>
  <si>
    <t>Choose Your Combo</t>
  </si>
  <si>
    <t>Appam (1pc)</t>
  </si>
  <si>
    <t>Tender Coconut Pudding</t>
  </si>
  <si>
    <t>Chicken Varutharacha Curry</t>
  </si>
  <si>
    <t>Chicken Darjeeling Steam Momo</t>
  </si>
  <si>
    <t>Chicken Fried Momo Mania</t>
  </si>
  <si>
    <t>Cheese Ramyun</t>
  </si>
  <si>
    <t>Dosa (2 Pcs) Chicken Curry</t>
  </si>
  <si>
    <t>Grilled Spicy Lamb Burger</t>
  </si>
  <si>
    <t>Himalayan Steamed Chicken Momos</t>
  </si>
  <si>
    <t>Ghee Gulab Jamun (2 Pcs)</t>
  </si>
  <si>
    <t>Garlic Mayo</t>
  </si>
  <si>
    <t>Nool Porota (1pc)</t>
  </si>
  <si>
    <t>Meat Curry</t>
  </si>
  <si>
    <t>Idli (2 Pcs)</t>
  </si>
  <si>
    <t>Cold Coffee (275ml)</t>
  </si>
  <si>
    <t>Masala Dosa</t>
  </si>
  <si>
    <t>Boneless Chicken Manchurian</t>
  </si>
  <si>
    <t>Chicken Kheema Paratha</t>
  </si>
  <si>
    <t>Chicken &amp; Egg Pothichoru</t>
  </si>
  <si>
    <t>Sugarcane With Ginger</t>
  </si>
  <si>
    <t>Prawns Pepper Dry</t>
  </si>
  <si>
    <t>12" Badmash Pizza</t>
  </si>
  <si>
    <t>Cajun Corn Kernels</t>
  </si>
  <si>
    <t>Fish Fingers</t>
  </si>
  <si>
    <t>Blue Berry Cheese Cake</t>
  </si>
  <si>
    <t>Firecracker Wings</t>
  </si>
  <si>
    <t>Orange Dynamite Wings</t>
  </si>
  <si>
    <t>Creamy Buffalo</t>
  </si>
  <si>
    <t>Chocolate And Love Smoothie Bowl</t>
  </si>
  <si>
    <t>Calvin Eats Nutella</t>
  </si>
  <si>
    <t>Trapper Creek</t>
  </si>
  <si>
    <t>Spaghetti Carbonara Chicken</t>
  </si>
  <si>
    <t>Istah's Chicken Shawarma in Rumali</t>
  </si>
  <si>
    <t>Belgian Chocolate Milk Shake</t>
  </si>
  <si>
    <t>Panoor Special Chicken Leg Fry</t>
  </si>
  <si>
    <t>Chicken Kothu Parotta</t>
  </si>
  <si>
    <t>Roasted Garlic Chicken Soup</t>
  </si>
  <si>
    <t>Honey Chicken Peppers</t>
  </si>
  <si>
    <t>Chicken Spaghetti Al Forno</t>
  </si>
  <si>
    <t>Belgian Chocolate Thick Shake</t>
  </si>
  <si>
    <t>Peanut Butter Indulgence Thick Shake</t>
  </si>
  <si>
    <t>Americano Pasta Non-veg</t>
  </si>
  <si>
    <t>Non Veg Club S/w</t>
  </si>
  <si>
    <t>Classic Chicken Steak</t>
  </si>
  <si>
    <t xml:space="preserve">Open Butter Masala Dosa </t>
  </si>
  <si>
    <t>Dark Chocolate Cake [350 Grams, Serves 3]</t>
  </si>
  <si>
    <t>Japanese Cotton Soft Cheesecake [125 Grams]</t>
  </si>
  <si>
    <t>What % of the orders coupons were applied? (HW)</t>
  </si>
  <si>
    <t>What % of the orders were delivered during rain? (HW)</t>
  </si>
  <si>
    <t>All the above metrics at a restaurant and area area level (HW)</t>
  </si>
  <si>
    <t>name of the food</t>
  </si>
  <si>
    <t>veg or non_veg</t>
  </si>
  <si>
    <t>is_coupon_applied</t>
  </si>
  <si>
    <t>coupon_applied</t>
  </si>
  <si>
    <t>Discount _amount</t>
  </si>
  <si>
    <t>offers_data</t>
  </si>
  <si>
    <t>order_time</t>
  </si>
  <si>
    <t>confirmed_time</t>
  </si>
  <si>
    <t>customer_id</t>
  </si>
  <si>
    <t>order_status</t>
  </si>
  <si>
    <t>delivery_boy.name</t>
  </si>
  <si>
    <t>restaurant_id</t>
  </si>
  <si>
    <t>restaurant_name</t>
  </si>
  <si>
    <t>restaurant_address</t>
  </si>
  <si>
    <t>restaurant_locality</t>
  </si>
  <si>
    <t>restaurant_city_name</t>
  </si>
  <si>
    <t>delivery_time_in_seconds</t>
  </si>
  <si>
    <t>delivery time hrs</t>
  </si>
  <si>
    <t>order_total</t>
  </si>
  <si>
    <t>order_total_with_tip</t>
  </si>
  <si>
    <t>net_total</t>
  </si>
  <si>
    <t>item_total</t>
  </si>
  <si>
    <t>free_delivery_discount_hit</t>
  </si>
  <si>
    <t>restaurant_lat_lng</t>
  </si>
  <si>
    <t>Distance group</t>
  </si>
  <si>
    <t>restaurant_customer_distance</t>
  </si>
  <si>
    <t>order_payment_method</t>
  </si>
  <si>
    <t>restaurant_area_name</t>
  </si>
  <si>
    <t>on_time</t>
  </si>
  <si>
    <t>rain_mode</t>
  </si>
  <si>
    <t>Month Start</t>
  </si>
  <si>
    <t>Area Name</t>
  </si>
  <si>
    <t>Restaurant Name</t>
  </si>
  <si>
    <t>Latitiude</t>
  </si>
  <si>
    <t>Longitude</t>
  </si>
  <si>
    <t>SWIGGYIT</t>
  </si>
  <si>
    <t>[{"id":"7740ff94-cc8f-41cf-b6ec-d4c97cbd0060","super_type":"SUPERTYPE_UNSPECIFIED","total_offer_discount":120,"discount_share":{"swiggy_discount":67.2,"store_discount":52.8,"alliance_discount":0},"discount_type":"PERCENTAGE","description":"60% off","fixed_charges":{"gp":{"id":"","final_price":0}}}]</t>
  </si>
  <si>
    <t>2024-05-21 12:28:52</t>
  </si>
  <si>
    <t>2024-05-21 12:29:13</t>
  </si>
  <si>
    <t>21191609</t>
  </si>
  <si>
    <t>Delivered</t>
  </si>
  <si>
    <t>NARREDDY NAGESWARA REDDY</t>
  </si>
  <si>
    <t>434304</t>
  </si>
  <si>
    <t>Paris Panini - Gourmet Sandwiches &amp; Wraps</t>
  </si>
  <si>
    <t>No.690/A, 14th Main, 100ft Road, JP Nagar 2nd Phase, Bangalore 560078.</t>
  </si>
  <si>
    <t>JP Nagar</t>
  </si>
  <si>
    <t>Bangalore</t>
  </si>
  <si>
    <t>12.90649867,77.59165435</t>
  </si>
  <si>
    <t>UPICollect</t>
  </si>
  <si>
    <t>No coupon</t>
  </si>
  <si>
    <t>"total_offer_discount":NO OFFER,</t>
  </si>
  <si>
    <t>2024-05-20 15:00:17</t>
  </si>
  <si>
    <t>2024-05-20 15:00:38</t>
  </si>
  <si>
    <t>Kesavamoorthi</t>
  </si>
  <si>
    <t>12804</t>
  </si>
  <si>
    <t>Nandhana Palace</t>
  </si>
  <si>
    <t>JP nagar, 147, 24th Main Rd, R.K Colony, Marenahalli, 2nd Phase, J. P. Nagar, Bengaluru, Karnataka 560078</t>
  </si>
  <si>
    <t>12.914599,77.585509</t>
  </si>
  <si>
    <t>MISSEDYOU</t>
  </si>
  <si>
    <t>[{"id":"c1399a7d-65f4-486a-ba3e-72a9d9c70cad","super_type":"SUPERTYPE_UNSPECIFIED","total_offer_discount":80,"discount_share":{"swiggy_discount":16,"store_discount":64,"alliance_discount":0},"discount_type":"PERCENTAGE","description":"40% off","fixed_charges":{"gp":{"id":"","final_price":0}}}]</t>
  </si>
  <si>
    <t>2024-05-18 21:21:54</t>
  </si>
  <si>
    <t>2024-05-18 21:22:15</t>
  </si>
  <si>
    <t>Safiul Ansari</t>
  </si>
  <si>
    <t>15250</t>
  </si>
  <si>
    <t>The Ganache Factory - Cakes &amp; Desserts</t>
  </si>
  <si>
    <t>#156, 43rd Cross, 8th Block, Next to Udupi Hub Resto, Jayanagar, Bangalore</t>
  </si>
  <si>
    <t>8th Block</t>
  </si>
  <si>
    <t>12.91835714,77.578127</t>
  </si>
  <si>
    <t>Jayanagar</t>
  </si>
  <si>
    <t>[{"id":"28bf3ebb-4a69-4a92-88a4-f491a5f86e17","super_type":"SUPERTYPE_UNSPECIFIED","total_offer_discount":39.99,"discount_share":{"swiggy_discount":0,"store_discount":39.99,"alliance_discount":0},"discount_type":"PERCENTAGE","description":"10% off","fixed_charges":{"gp":{"id":"","final_price":0}}}]</t>
  </si>
  <si>
    <t>2024-05-18 09:07:26</t>
  </si>
  <si>
    <t>2024-05-18 09:07:44</t>
  </si>
  <si>
    <t>Rama Krishna</t>
  </si>
  <si>
    <t>630473</t>
  </si>
  <si>
    <t>Rasayan</t>
  </si>
  <si>
    <t>652,13th cross,29th main road BTM 2nd stage,560078, Bangalore Karnataka</t>
  </si>
  <si>
    <t>Health Bar</t>
  </si>
  <si>
    <t>12.907799,77.613487</t>
  </si>
  <si>
    <t>BTM 2nd Stage</t>
  </si>
  <si>
    <t>DEALICIOUS</t>
  </si>
  <si>
    <t>[{"id":"91e6269d-640b-443e-a7d4-46089c0574f6","super_type":"SUPERTYPE_UNSPECIFIED","total_offer_discount":124.99,"discount_share":{"swiggy_discount":0,"store_discount":124.99,"alliance_discount":0},"discount_type":"FLAT","description":"FLAT125 off","fixed_charges":{"gp":{"id":"","final_price":0}}}]</t>
  </si>
  <si>
    <t>2024-05-17 14:41:45</t>
  </si>
  <si>
    <t>2024-05-17 14:42:09</t>
  </si>
  <si>
    <t>Tapan Nayak</t>
  </si>
  <si>
    <t>34363</t>
  </si>
  <si>
    <t>Firangi Bake</t>
  </si>
  <si>
    <t>Shop No.4, Frist Floor, NGK Complex, Tavarekere Main Rd, 1st Stage, BTM Layout, Bengaluru, Karnataka 560029 ( Above DMart Ready)</t>
  </si>
  <si>
    <t>NGK Complex</t>
  </si>
  <si>
    <t>12.920219,77.610520</t>
  </si>
  <si>
    <t>BTM 1st Stage</t>
  </si>
  <si>
    <t>MDM150</t>
  </si>
  <si>
    <t>[{"id":"60d51c5f-a27d-407c-9d72-c55f498dea78","super_type":"SUPERTYPE_UNSPECIFIED","total_offer_discount":149.99,"discount_share":{"swiggy_discount":15,"store_discount":134.99,"alliance_discount":0},"discount_type":"FLAT","description":"Flat ₹150 off","fixed_charges":{"gp":{"id":"","final_price":0}}}]</t>
  </si>
  <si>
    <t>2024-05-10 22:20:55</t>
  </si>
  <si>
    <t>2024-05-10 22:21:01</t>
  </si>
  <si>
    <t>ARUN DYAVANAKATTI</t>
  </si>
  <si>
    <t>474244</t>
  </si>
  <si>
    <t>Daily Sushi</t>
  </si>
  <si>
    <t>No.5, 1st Floor, 9th Main Road, 5th block, Jayanagar, 560041</t>
  </si>
  <si>
    <t>5th Block</t>
  </si>
  <si>
    <t>12.92243257,77.58390586</t>
  </si>
  <si>
    <t>Cash</t>
  </si>
  <si>
    <t>2024-05-10 19:14:56</t>
  </si>
  <si>
    <t>2024-05-10 19:15:01</t>
  </si>
  <si>
    <t>PARASH</t>
  </si>
  <si>
    <t>[{"id":"8a02a1ac-9efe-46ea-9649-fc635c7c8618","super_type":"SUPERTYPE_UNSPECIFIED","total_offer_discount":35,"discount_share":{"swiggy_discount":0,"store_discount":35,"alliance_discount":0},"discount_type":"PERCENTAGE","description":"10% off","fixed_charges":{"gp":{"id":"","final_price":0}}}]</t>
  </si>
  <si>
    <t>2024-05-08 11:36:45</t>
  </si>
  <si>
    <t>2024-05-08 11:37:28</t>
  </si>
  <si>
    <t>Sanjay Kumar Mohanty</t>
  </si>
  <si>
    <t>534276</t>
  </si>
  <si>
    <t>Naalnaad Mane</t>
  </si>
  <si>
    <t>16,2ND FLOOR GOWRY'S BUILDING,ABOVE DOMINO'S,SY NO 13 OF AREKERE VILLAGE,BANNERGHATTA,BANGLAORE,jayanagar,B.B.M.PM south, karnataka - 560076</t>
  </si>
  <si>
    <t>Mico Layout</t>
  </si>
  <si>
    <t>12.89009167,77.5976944</t>
  </si>
  <si>
    <t>Arekere</t>
  </si>
  <si>
    <t>2024-05-07 23:45:56</t>
  </si>
  <si>
    <t>2024-05-07 23:46:17</t>
  </si>
  <si>
    <t>DIDAR HUSSAIN LASKAR</t>
  </si>
  <si>
    <t>524936</t>
  </si>
  <si>
    <t>Theobroma</t>
  </si>
  <si>
    <t>SHOP NO-39,SHABARI ARCADE,14TH MAIN ROAD,OPP MAX SHOWROOM, HSR LAYOUT,BANGALORE-560102, BTM Layout , B.B.M.P South, Karnataka-560102</t>
  </si>
  <si>
    <t>7th Sector</t>
  </si>
  <si>
    <t>12.91135428,77.6380469</t>
  </si>
  <si>
    <t>HSR Layout</t>
  </si>
  <si>
    <t>2024-05-07 21:31:39</t>
  </si>
  <si>
    <t>2024-05-07 21:31:57</t>
  </si>
  <si>
    <t>Vijayakumar  V</t>
  </si>
  <si>
    <t>437065</t>
  </si>
  <si>
    <t>SHOP NO. 475, GROUND FLOOR, 39TH "C" CROSS, 9TH MAIN, 5THBLOCK, JAYANAGAR,BANGALORE, Jayanagar ,B.B.M.P South, Karnataka,560041</t>
  </si>
  <si>
    <t>5th block</t>
  </si>
  <si>
    <t>12.92017647,77.5836421</t>
  </si>
  <si>
    <t>[{"id":"8a02a1ac-9efe-46ea-9649-fc635c7c8618","super_type":"SUPERTYPE_UNSPECIFIED","total_offer_discount":28,"discount_share":{"swiggy_discount":0,"store_discount":28,"alliance_discount":0},"discount_type":"PERCENTAGE","description":"10% off","fixed_charges":{"gp":{"id":"","final_price":0}}}]</t>
  </si>
  <si>
    <t>2024-05-07 19:02:12</t>
  </si>
  <si>
    <t>2024-05-07 19:02:53</t>
  </si>
  <si>
    <t>Gangi Reddy</t>
  </si>
  <si>
    <t>TRYNEW</t>
  </si>
  <si>
    <t>[{"id":"5c8d9a7d-f899-4dcc-998e-d3e0b2960661","super_type":"SUPERTYPE_UNSPECIFIED","total_offer_discount":80,"discount_share":{"swiggy_discount":0,"store_discount":80,"alliance_discount":0},"discount_type":"PERCENTAGE","description":"40% off","fixed_charges":{"gp":{"id":"","final_price":0}}}]</t>
  </si>
  <si>
    <t>2024-05-07 13:18:22</t>
  </si>
  <si>
    <t>2024-05-07 13:18:44</t>
  </si>
  <si>
    <t>Shiba Kairi</t>
  </si>
  <si>
    <t>[{"id":"28bf3ebb-4a69-4a92-88a4-f491a5f86e17","super_type":"SUPERTYPE_UNSPECIFIED","total_offer_discount":23.9,"discount_share":{"swiggy_discount":0,"store_discount":23.9,"alliance_discount":0},"discount_type":"PERCENTAGE","description":"10% off","fixed_charges":{"gp":{"id":"","final_price":0}}}]</t>
  </si>
  <si>
    <t>2024-05-07 10:06:46</t>
  </si>
  <si>
    <t>2024-05-07 10:07:00</t>
  </si>
  <si>
    <t>Harikrishna R</t>
  </si>
  <si>
    <t>[{"id":"137a1aed-678a-41ce-ac11-088fcce35f29","super_type":"SUPERTYPE_UNSPECIFIED","total_offer_discount":100,"discount_share":{"swiggy_discount":48,"store_discount":52,"alliance_discount":0},"discount_type":"PERCENTAGE","description":"50% off","fixed_charges":{"gp":{"id":"","final_price":0}}}]</t>
  </si>
  <si>
    <t>2024-05-06 19:18:39</t>
  </si>
  <si>
    <t>2024-05-06 19:19:03</t>
  </si>
  <si>
    <t>Puran Singh</t>
  </si>
  <si>
    <t>2024-05-06 16:03:12</t>
  </si>
  <si>
    <t>2024-05-06 16:03:45</t>
  </si>
  <si>
    <t>Ash Narayan Das</t>
  </si>
  <si>
    <t>694704</t>
  </si>
  <si>
    <t>Love And Crumble</t>
  </si>
  <si>
    <t>NO 307, LALEHZAR APARTMENTS PALACE ROAD SHIVAJINAGARA B.B.M.P EAST KARNATAKA</t>
  </si>
  <si>
    <t>Lalehzar Apartments Palace Road</t>
  </si>
  <si>
    <t>12.98505012,77.5880017</t>
  </si>
  <si>
    <t>Malleshwaram</t>
  </si>
  <si>
    <t>[{"id":"8ecc3140-454d-483f-810e-78be04d68af5","super_type":"SUPERTYPE_UNSPECIFIED","total_offer_discount":124.99,"discount_share":{"swiggy_discount":0,"store_discount":124.99,"alliance_discount":0},"discount_type":"FLAT","description":"FLAT125 off","fixed_charges":{"gp":{"id":"","final_price":0}}}]</t>
  </si>
  <si>
    <t>2024-05-06 13:53:24</t>
  </si>
  <si>
    <t>2024-05-06 13:53:46</t>
  </si>
  <si>
    <t>MRITYUNJAY HALDER</t>
  </si>
  <si>
    <t>34381</t>
  </si>
  <si>
    <t>No 87/15/638/2 Nanjappa garden, Katha no - 1785/87/15/638/2, Arekere Village, begur hobali, Bangalore South taluk, Bangalore - 560076</t>
  </si>
  <si>
    <t>Begur Hobali</t>
  </si>
  <si>
    <t>12.885643,77.602120</t>
  </si>
  <si>
    <t>2024-05-06 08:43:13</t>
  </si>
  <si>
    <t>2024-05-06 08:43:38</t>
  </si>
  <si>
    <t>THARUN N</t>
  </si>
  <si>
    <t>[{"id":"28bf3ebb-4a69-4a92-88a4-f491a5f86e17","super_type":"SUPERTYPE_UNSPECIFIED","total_offer_discount":40,"discount_share":{"swiggy_discount":0,"store_discount":40,"alliance_discount":0},"discount_type":"PERCENTAGE","description":"10% off","fixed_charges":{"gp":{"id":"","final_price":0}}}]</t>
  </si>
  <si>
    <t>2024-05-05 19:17:56</t>
  </si>
  <si>
    <t>2024-05-05 19:18:22</t>
  </si>
  <si>
    <t xml:space="preserve">SrinivasSrini </t>
  </si>
  <si>
    <t>JUMBO</t>
  </si>
  <si>
    <t>[{"id":"7b5f26f9-18b8-4c51-aed1-b1e142eba2ae","super_type":"SUPERTYPE_UNSPECIFIED","total_offer_discount":149.4,"discount_share":{"swiggy_discount":0,"store_discount":149.4,"alliance_discount":0},"discount_type":"PERCENTAGE","description":"30% off","fixed_charges":{"gp":{"id":"","final_price":0}}}]</t>
  </si>
  <si>
    <t>2024-05-05 08:36:52</t>
  </si>
  <si>
    <t>2024-05-05 08:37:10</t>
  </si>
  <si>
    <t>Rajesh Kumar</t>
  </si>
  <si>
    <t>[{"id":"903b3cd1-104b-4bdd-94d3-96daaea1a80b","super_type":"SUPERTYPE_UNSPECIFIED","total_offer_discount":44.99,"discount_share":{"swiggy_discount":0,"store_discount":44.99,"alliance_discount":0},"discount_type":"PERCENTAGE","description":"15% off","fixed_charges":{"gp":{"id":"","final_price":0}}}]</t>
  </si>
  <si>
    <t>2024-05-04 15:56:01</t>
  </si>
  <si>
    <t>2024-05-04 15:56:19</t>
  </si>
  <si>
    <t>Surendra J</t>
  </si>
  <si>
    <t>[{"id":"bcdcaa8c-6d73-46c7-af56-3b6dc93e207a","super_type":"SUPERTYPE_UNSPECIFIED","total_offer_discount":60,"discount_share":{"swiggy_discount":12,"store_discount":48,"alliance_discount":0},"discount_type":"PERCENTAGE","description":"30% off","fixed_charges":{"gp":{"id":"","final_price":0}}}]</t>
  </si>
  <si>
    <t>2024-05-02 19:15:20</t>
  </si>
  <si>
    <t>2024-05-02 19:15:26</t>
  </si>
  <si>
    <t>KAMAL CHETRY</t>
  </si>
  <si>
    <t>35953</t>
  </si>
  <si>
    <t>Homely</t>
  </si>
  <si>
    <t>No. 135/14, 100ft Ring Road, 15th Cross, J.P.Nagar, 3rd Phase, Bengaluru.560076</t>
  </si>
  <si>
    <t>3rd Phase</t>
  </si>
  <si>
    <t>12.906291,77.596256</t>
  </si>
  <si>
    <t>[{"id":"6efa58fe-50e0-4c94-aadd-f2cf8ce25c67","super_type":"SUPERTYPE_UNSPECIFIED","total_offer_discount":99.99000000000001,"discount_share":{"swiggy_discount":47.99,"store_discount":52,"alliance_discount":0},"discount_type":"PERCENTAGE","description":"50% off","fixed_charges":{"gp":{"id":"","final_price":0}}}]</t>
  </si>
  <si>
    <t>2024-05-01 15:58:19</t>
  </si>
  <si>
    <t>2024-05-01 15:58:57</t>
  </si>
  <si>
    <t>Sakti Prasad Sundaray</t>
  </si>
  <si>
    <t>[{"id":"7b5f26f9-18b8-4c51-aed1-b1e142eba2ae","super_type":"SUPERTYPE_UNSPECIFIED","total_offer_discount":148.8,"discount_share":{"swiggy_discount":0,"store_discount":148.8,"alliance_discount":0},"discount_type":"PERCENTAGE","description":"30% off","fixed_charges":{"gp":{"id":"","final_price":0}}}]</t>
  </si>
  <si>
    <t>2024-05-01 10:16:04</t>
  </si>
  <si>
    <t>2024-05-01 10:16:24</t>
  </si>
  <si>
    <t>Shaik Yaseen</t>
  </si>
  <si>
    <t>[{"id":"7b5f26f9-18b8-4c51-aed1-b1e142eba2ae","super_type":"SUPERTYPE_UNSPECIFIED","total_offer_discount":149.99,"discount_share":{"swiggy_discount":0,"store_discount":149.99,"alliance_discount":0},"discount_type":"PERCENTAGE","description":"30% off","fixed_charges":{"gp":{"id":"","final_price":0}}}]</t>
  </si>
  <si>
    <t>2024-04-27 10:09:55</t>
  </si>
  <si>
    <t>2024-04-27 10:10:09</t>
  </si>
  <si>
    <t>RIYAZ AHMED</t>
  </si>
  <si>
    <t>2024-04-27 10:07:51</t>
  </si>
  <si>
    <t>2024-04-27 10:08:09</t>
  </si>
  <si>
    <t>cancelled</t>
  </si>
  <si>
    <t>[{"id":"f90d8119-321f-4158-a454-d7576a8e0a65","super_type":"SUPERTYPE_UNSPECIFIED","total_offer_discount":75,"discount_share":{"swiggy_discount":18.75,"store_discount":56.25,"alliance_discount":0},"discount_type":"PERCENTAGE","description":"30% off","fixed_charges":{"gp":{"id":"","final_price":0}}}]</t>
  </si>
  <si>
    <t>2024-04-25 19:00:59</t>
  </si>
  <si>
    <t>2024-04-25 19:01:33</t>
  </si>
  <si>
    <t>RAJESH CHETRY</t>
  </si>
  <si>
    <t>260968</t>
  </si>
  <si>
    <t>Chowman</t>
  </si>
  <si>
    <t>SAI DURGA ENCLAVE, KATHA NO 1099, AND NO 833/1, GROUND FLOOR, BELLENDUR VILLAGE, VARTHUR HOBLI, BANGALORE, Mahadevapura , B.B.M.P East, Karnataka-560037</t>
  </si>
  <si>
    <t>Sai Durga Enclave</t>
  </si>
  <si>
    <t>12.92314229,77.6713331</t>
  </si>
  <si>
    <t>Bellandur</t>
  </si>
  <si>
    <t>[{"id":"12337c67-3996-4380-afdd-b7cf7e3de7a3","super_type":"SUPERTYPE_UNSPECIFIED","total_offer_discount":100,"discount_share":{"swiggy_discount":48,"store_discount":52,"alliance_discount":0},"discount_type":"PERCENTAGE","description":"50% off","fixed_charges":{"gp":{"id":"","final_price":0}}}]</t>
  </si>
  <si>
    <t>2024-04-24 19:40:51</t>
  </si>
  <si>
    <t>2024-04-24 19:41:11</t>
  </si>
  <si>
    <t>K Babu</t>
  </si>
  <si>
    <t>742267</t>
  </si>
  <si>
    <t>Counter No. 23, 24 &amp; 33, No. 53/2,  Doddakannelli Village, Varthur Hobli,  Bangalore, Mahadevapura , B.B.M.P East,  Karnataka-560038</t>
  </si>
  <si>
    <t>Sarjapur Road</t>
  </si>
  <si>
    <t>12.90906249,77.68766132</t>
  </si>
  <si>
    <t>Bellandur Sarjapur</t>
  </si>
  <si>
    <t>[{"id":"a95119de-61b8-489b-ad8b-1cf7a5d62a5e","super_type":"SUPERTYPE_UNSPECIFIED","total_offer_discount":50,"discount_share":{"swiggy_discount":15,"store_discount":35,"alliance_discount":0},"discount_type":"PERCENTAGE","description":"20% off","fixed_charges":{"gp":{"id":"","final_price":0}}}]</t>
  </si>
  <si>
    <t>2024-04-23 23:43:02</t>
  </si>
  <si>
    <t>2024-04-23 23:43:23</t>
  </si>
  <si>
    <t>Kapsi Mohammed Tufail</t>
  </si>
  <si>
    <t>29349</t>
  </si>
  <si>
    <t>Frozen Bottle - Milkshakes, Desserts And Ice Cream</t>
  </si>
  <si>
    <t>88, Celler Floor, 17th Cross, 14th main, Sector - 4, HSR, Bangalore</t>
  </si>
  <si>
    <t>12.91233118,77.63839138</t>
  </si>
  <si>
    <t>[{"id":"768dad50-eef1-40d7-bfd4-5327ee71bb5a","super_type":"SUPERTYPE_UNSPECIFIED","total_offer_discount":60,"discount_share":{"swiggy_discount":0,"store_discount":60,"alliance_discount":0},"discount_type":"PERCENTAGE","description":"30% off","fixed_charges":{"gp":{"id":"","final_price":0}}}]</t>
  </si>
  <si>
    <t>2024-04-23 19:20:12</t>
  </si>
  <si>
    <t>2024-04-23 19:20:29</t>
  </si>
  <si>
    <t>ANSHUMAN DAS</t>
  </si>
  <si>
    <t>34366</t>
  </si>
  <si>
    <t>SHOP NO 2318,HSR LAYOUT SECTOR ONE,NEAR NIFT COLLEGE,BANGALORE</t>
  </si>
  <si>
    <t>Near NIFT College, Sector 1</t>
  </si>
  <si>
    <t>12.912101,77.65163400000006</t>
  </si>
  <si>
    <t>[{"id":"24ecd13d-e27f-4858-9c2a-bdc2b708cce4","super_type":"SUPERTYPE_UNSPECIFIED","total_offer_discount":150,"discount_share":{"swiggy_discount":75,"store_discount":75,"alliance_discount":0},"discount_type":"FLAT","description":"Flat ₹150 off","fixed_charges":{"gp":{"id":"","final_price":0}}}]</t>
  </si>
  <si>
    <t>2024-04-22 19:58:41</t>
  </si>
  <si>
    <t>2024-04-22 19:59:12</t>
  </si>
  <si>
    <t>SUSHIL MANDAL</t>
  </si>
  <si>
    <t>17036</t>
  </si>
  <si>
    <t>Leon's - Burgers &amp; Wings (Leon Grill)</t>
  </si>
  <si>
    <t>No.17, Ground Floor, 18th Cross Road, 3rd Sector, HSR Layout, Bangalore.</t>
  </si>
  <si>
    <t>12.91181131,77.64374963</t>
  </si>
  <si>
    <t>[{"id":"8cdbbc6c-7669-489e-b255-421d322ec80f","super_type":"SUPERTYPE_UNSPECIFIED","total_offer_discount":150,"discount_share":{"swiggy_discount":75,"store_discount":75,"alliance_discount":0},"discount_type":"FLAT","description":"Flat ₹150 off","fixed_charges":{"gp":{"id":"","final_price":0}}}]</t>
  </si>
  <si>
    <t>2024-04-18 18:43:41</t>
  </si>
  <si>
    <t>2024-04-18 18:44:05</t>
  </si>
  <si>
    <t>Kundan</t>
  </si>
  <si>
    <t>2024-04-03 18:53:56</t>
  </si>
  <si>
    <t>2024-04-03 18:54:20</t>
  </si>
  <si>
    <t>chandan  K</t>
  </si>
  <si>
    <t>2024-04-01 19:23:01</t>
  </si>
  <si>
    <t>2024-04-01 19:23:06</t>
  </si>
  <si>
    <t>Noor Azam</t>
  </si>
  <si>
    <t>2024-03-31 15:46:07</t>
  </si>
  <si>
    <t>2024-03-31 15:46:25</t>
  </si>
  <si>
    <t>Bharath R</t>
  </si>
  <si>
    <t>[{"id":"16ef3f62-96d1-48fa-977b-3851da22b190","super_type":"SUPERTYPE_UNSPECIFIED","total_offer_discount":80,"discount_share":{"swiggy_discount":20,"store_discount":60,"alliance_discount":0},"discount_type":"PERCENTAGE","description":"40% off","fixed_charges":{"gp":{"id":"","final_price":0}}}]</t>
  </si>
  <si>
    <t>2024-03-25 14:23:37</t>
  </si>
  <si>
    <t>2024-03-25 14:23:54</t>
  </si>
  <si>
    <t>MAHESH BABU</t>
  </si>
  <si>
    <t>2675</t>
  </si>
  <si>
    <t>Subway</t>
  </si>
  <si>
    <t>36, 3rd Store, 7th Sector, 14th main, HSR Layout</t>
  </si>
  <si>
    <t>12.9118135,77.637958</t>
  </si>
  <si>
    <t>Hsr Layout</t>
  </si>
  <si>
    <t>FLATDEAL</t>
  </si>
  <si>
    <t>[{"id":"20f94987-8858-4c7d-bf7b-c2ff8a327fa8","super_type":"SUPERTYPE_UNSPECIFIED","total_offer_discount":99.99,"discount_share":{"swiggy_discount":0,"store_discount":99.99,"alliance_discount":0},"discount_type":"FLAT","description":"FLAT100 off","fixed_charges":{"gp":{"id":"","final_price":0}}}]</t>
  </si>
  <si>
    <t>2024-03-21 19:08:54</t>
  </si>
  <si>
    <t>2024-03-21 19:09:08</t>
  </si>
  <si>
    <t xml:space="preserve">Kumar P </t>
  </si>
  <si>
    <t>[{"id":"e7373c56-9ba3-49f4-be3d-f75ecf92675e","super_type":"SUPERTYPE_UNSPECIFIED","total_offer_discount":80,"discount_share":{"swiggy_discount":20,"store_discount":60,"alliance_discount":0},"discount_type":"PERCENTAGE","description":"40% off","fixed_charges":{"gp":{"id":"","final_price":0}}}]</t>
  </si>
  <si>
    <t>2024-03-10 21:08:36</t>
  </si>
  <si>
    <t>2024-03-10 21:09:03</t>
  </si>
  <si>
    <t>Subrath Panda</t>
  </si>
  <si>
    <t>2024-03-09 18:33:51</t>
  </si>
  <si>
    <t>2024-03-09 18:34:15</t>
  </si>
  <si>
    <t>Sreedhar V</t>
  </si>
  <si>
    <t>2024-03-08 19:49:32</t>
  </si>
  <si>
    <t>2024-03-08 19:49:59</t>
  </si>
  <si>
    <t>BIRENDRA DHAMI</t>
  </si>
  <si>
    <t>464830</t>
  </si>
  <si>
    <t>Bowl Soul</t>
  </si>
  <si>
    <t>No 526/A,Ganesh Complex,Ground floor,18th Main Road,HSR 3rd sector,Bangalore:560102</t>
  </si>
  <si>
    <t>3rd Sector</t>
  </si>
  <si>
    <t>12.9054065,77.64410799999996</t>
  </si>
  <si>
    <t>[{"id":"68fb12f6-cd47-465f-8695-896e48e6c41d","super_type":"SUPERTYPE_UNSPECIFIED","total_offer_discount":80,"discount_share":{"swiggy_discount":20,"store_discount":60,"alliance_discount":0},"discount_type":"PERCENTAGE","description":"40% off","fixed_charges":{"gp":{"id":"","final_price":0}}}]</t>
  </si>
  <si>
    <t>2024-03-05 21:00:14</t>
  </si>
  <si>
    <t>2024-03-05 21:00:40</t>
  </si>
  <si>
    <t xml:space="preserve">bhagyavanth </t>
  </si>
  <si>
    <t>2024-03-04 14:50:09</t>
  </si>
  <si>
    <t>2024-03-04 14:50:43</t>
  </si>
  <si>
    <t>BHARKATH ALI A</t>
  </si>
  <si>
    <t>18973</t>
  </si>
  <si>
    <t>Koramangala, 7, Mahakavi Vemana Rd, KHB Block Koramangala, Koramangala 4-B Block, Koramangala, Bengaluru, Karnataka 560034</t>
  </si>
  <si>
    <t>Koramangala</t>
  </si>
  <si>
    <t>12.93171741,77.6229908</t>
  </si>
  <si>
    <t>2024-03-03 17:55:54</t>
  </si>
  <si>
    <t>2024-03-03 17:56:20</t>
  </si>
  <si>
    <t>KESHAV RAJ BHATTA</t>
  </si>
  <si>
    <t>254655</t>
  </si>
  <si>
    <t>No.1212, SBM Fortune, 4th Floor, 22nd Cross Road, 14th Main Rd, 3rd Sector, HSR Layout, Bengaluru, Karnataka 560102, India</t>
  </si>
  <si>
    <t>12.90942041,77.63866215</t>
  </si>
  <si>
    <t>2024-03-02 01:47:43</t>
  </si>
  <si>
    <t>2024-03-02 01:49:00</t>
  </si>
  <si>
    <t xml:space="preserve">DEBAJIT SAHA </t>
  </si>
  <si>
    <t>621134</t>
  </si>
  <si>
    <t>Sundae Everyday Ice Creams</t>
  </si>
  <si>
    <t>Bharadwaj Ventures No.2007,Next to Park Villa, Behind Amul Parlour, Near Venkateshwara College, Vidya Nagar, Bengaluru North 562157, Bangalore North, Bangalore Urban, Karnataka-562157</t>
  </si>
  <si>
    <t>Vidya Nagar</t>
  </si>
  <si>
    <t>13.16024,77.6351</t>
  </si>
  <si>
    <t>Yelahanka</t>
  </si>
  <si>
    <t>[{"id":"ba56dab2-1b4c-454a-87c7-66ccaab3091f","super_type":"SUPERTYPE_UNSPECIFIED","total_offer_discount":20.9,"discount_share":{"swiggy_discount":0,"store_discount":20.9,"alliance_discount":0},"discount_type":"PERCENTAGE","description":"10% off","fixed_charges":{"gp":{"id":"","final_price":0}}}]</t>
  </si>
  <si>
    <t>2024-02-27 23:58:33</t>
  </si>
  <si>
    <t>2024-02-27 23:58:54</t>
  </si>
  <si>
    <t>Md Majir Uddin Hachayini</t>
  </si>
  <si>
    <t>647582</t>
  </si>
  <si>
    <t>Smoky Docky</t>
  </si>
  <si>
    <t>130, 17th H Main Rd, KHB Colony, M.I.G, 5th Block, Koramangala, Bengaluru, Karnataka 560095, India</t>
  </si>
  <si>
    <t>12.934678,77.616812</t>
  </si>
  <si>
    <t>[{"id":"5ba597b1-287c-4335-9317-451a632f4519","super_type":"SUPERTYPE_UNSPECIFIED","total_offer_discount":75,"discount_share":{"swiggy_discount":18.75,"store_discount":56.25,"alliance_discount":0},"discount_type":"PERCENTAGE","description":"30% off","fixed_charges":{"gp":{"id":"","final_price":0}}}]</t>
  </si>
  <si>
    <t>2024-02-27 19:55:39</t>
  </si>
  <si>
    <t>2024-02-27 19:56:01</t>
  </si>
  <si>
    <t>Dipak Basnet</t>
  </si>
  <si>
    <t>656392</t>
  </si>
  <si>
    <t>CNA Arcade, Ground Floor, No. 37, 1st Main, 1st Block, Koramangala, Bangalore-560034</t>
  </si>
  <si>
    <t>1st Block</t>
  </si>
  <si>
    <t>12.928999,77.635218</t>
  </si>
  <si>
    <t>2024-02-26 20:09:48</t>
  </si>
  <si>
    <t>2024-02-26 20:12:01</t>
  </si>
  <si>
    <t>Rajendra Sahoo</t>
  </si>
  <si>
    <t>[{"id":"c43b8888-f483-43af-9935-7d4034582849","super_type":"SUPERTYPE_UNSPECIFIED","total_offer_discount":35.7,"discount_share":{"swiggy_discount":0,"store_discount":35.7,"alliance_discount":0},"discount_type":"PERCENTAGE","description":"10% off","fixed_charges":{"gp":{"id":"","final_price":0}}}]</t>
  </si>
  <si>
    <t>2024-02-18 18:18:22</t>
  </si>
  <si>
    <t>2024-02-18 18:18:57</t>
  </si>
  <si>
    <t xml:space="preserve">ChandraSheaker Raju </t>
  </si>
  <si>
    <t>144115</t>
  </si>
  <si>
    <t>Parcel 5 Food Court, Embassy Tech Village, Outer Ring Road, Near New Horizon College, Devarabeesanahalli, Varthur Hobli, Bangalore , Mahadevapura , B.B.M.P East, Karnataka-560103</t>
  </si>
  <si>
    <t>12.927366,77.692146</t>
  </si>
  <si>
    <t>Devarabeesanahalli</t>
  </si>
  <si>
    <t>2024-02-16 20:31:01</t>
  </si>
  <si>
    <t>2024-02-16 20:31:06</t>
  </si>
  <si>
    <t>MUJAHIDUL ISLAM LASKAR</t>
  </si>
  <si>
    <t>[{"id":"14a3b6c3-fe74-4f29-9b89-a2368550fb25","super_type":"SUPERTYPE_UNSPECIFIED","total_offer_discount":80,"discount_share":{"swiggy_discount":20,"store_discount":60,"alliance_discount":0},"discount_type":"PERCENTAGE","description":"40% off","fixed_charges":{"gp":{"id":"","final_price":0}}}]</t>
  </si>
  <si>
    <t>2024-02-16 13:57:27</t>
  </si>
  <si>
    <t>2024-02-16 13:57:55</t>
  </si>
  <si>
    <t>Jitendra Kumar Nayak</t>
  </si>
  <si>
    <t>[{"id":"c43b8888-f483-43af-9935-7d4034582849","super_type":"SUPERTYPE_UNSPECIFIED","total_offer_discount":40,"discount_share":{"swiggy_discount":0,"store_discount":40,"alliance_discount":0},"discount_type":"PERCENTAGE","description":"10% off","fixed_charges":{"gp":{"id":"","final_price":0}}}]</t>
  </si>
  <si>
    <t>2024-02-15 13:08:25</t>
  </si>
  <si>
    <t>2024-02-15 13:08:43</t>
  </si>
  <si>
    <t>Naresh C</t>
  </si>
  <si>
    <t>2024-02-13 19:52:04</t>
  </si>
  <si>
    <t>2024-02-13 19:52:39</t>
  </si>
  <si>
    <t>SANJIT TATUA</t>
  </si>
  <si>
    <t>[{"id":"a06ad688-47c7-4d07-b1e6-983b5c122814","super_type":"SUPERTYPE_UNSPECIFIED","total_offer_discount":111.6,"discount_share":{"swiggy_discount":22.32,"store_discount":89.28,"alliance_discount":0},"discount_type":"PERCENTAGE","description":"60% off","fixed_charges":{"gp":{"id":"","final_price":0}}}]</t>
  </si>
  <si>
    <t>2024-02-04 01:44:56</t>
  </si>
  <si>
    <t>2024-02-04 01:45:34</t>
  </si>
  <si>
    <t>VIVEK KANTU RATHOD</t>
  </si>
  <si>
    <t>418488</t>
  </si>
  <si>
    <t>NOTO - Ice Creams &amp; Desserts</t>
  </si>
  <si>
    <t>#345, kaikondrahalli Sarjapura main road Bangalore 560056, Mahadevpura, B.B.M.P East, Karnataka - 560056</t>
  </si>
  <si>
    <t>Kaikondrahalli</t>
  </si>
  <si>
    <t>12.913087,77.678681</t>
  </si>
  <si>
    <t>2024-02-03 15:17:54</t>
  </si>
  <si>
    <t>2024-02-03 15:18:26</t>
  </si>
  <si>
    <t>Satish kumar</t>
  </si>
  <si>
    <t>422128</t>
  </si>
  <si>
    <t>Baba Ganoush</t>
  </si>
  <si>
    <t>KORMANGALA, 6th block, 80ft main road Shop no 2, NA chambers 2 , 478, 6th Block, Koramangala, Bengaluru, Karnataka 560095, India</t>
  </si>
  <si>
    <t>6th Block</t>
  </si>
  <si>
    <t>12.9398836,77.6252951</t>
  </si>
  <si>
    <t>2024-02-02 20:08:16</t>
  </si>
  <si>
    <t>2024-02-02 20:09:12</t>
  </si>
  <si>
    <t>yogeesha s</t>
  </si>
  <si>
    <t>KHB Colony</t>
  </si>
  <si>
    <t>2024-01-28 16:28:50</t>
  </si>
  <si>
    <t>2024-01-28 16:28:56</t>
  </si>
  <si>
    <t>JAGANNATH MOHANTA</t>
  </si>
  <si>
    <t>[{"id":"0d0cbd02-407f-4bb6-9c39-91b66ef5c01e","super_type":"SUPERTYPE_UNSPECIFIED","total_offer_discount":50,"discount_share":{"swiggy_discount":0,"store_discount":50,"alliance_discount":0},"discount_type":"PERCENTAGE","description":"20% off","fixed_charges":{"gp":{"id":"","final_price":0}}}]</t>
  </si>
  <si>
    <t>2024-01-27 21:43:01</t>
  </si>
  <si>
    <t>2024-01-27 21:43:42</t>
  </si>
  <si>
    <t>23805</t>
  </si>
  <si>
    <t>Domino's Pizza</t>
  </si>
  <si>
    <t>Ground Floor, # 1573, Sector 1(Agara), HSR Layout,,Bangalore - 560102</t>
  </si>
  <si>
    <t>1st Sector</t>
  </si>
  <si>
    <t>12.923037,77.646448</t>
  </si>
  <si>
    <t>[{"id":"66f89a57-1f02-4c46-a99b-8fc3b891874a","super_type":"SUPERTYPE_UNSPECIFIED","total_offer_discount":49.99,"discount_share":{"swiggy_discount":7.5,"store_discount":42.49,"alliance_discount":0},"discount_type":"PERCENTAGE","description":"20% off","fixed_charges":{"gp":{"id":"","final_price":0}}}]</t>
  </si>
  <si>
    <t>2024-01-20 23:31:34</t>
  </si>
  <si>
    <t>2024-01-20 23:31:48</t>
  </si>
  <si>
    <t>RAVI KUMAR MANDAL</t>
  </si>
  <si>
    <t>502673</t>
  </si>
  <si>
    <t>The Belgian Waffle Co.</t>
  </si>
  <si>
    <t>Near VI store, 647, 27th main road, sector 2, sector 5, 1st sector HSR Layout, Bengaluru Karnataka - 560102</t>
  </si>
  <si>
    <t>2nd Sector</t>
  </si>
  <si>
    <t>12.916097,77.65184</t>
  </si>
  <si>
    <t>2024-01-20 15:28:16</t>
  </si>
  <si>
    <t>2024-01-20 15:28:43</t>
  </si>
  <si>
    <t>Imdadul Hoque Laskar</t>
  </si>
  <si>
    <t>FLAT100</t>
  </si>
  <si>
    <t>[{"id":"c5767fa3-4c94-4be2-88d4-9b923f4a2e14","super_type":"SUPERTYPE_UNSPECIFIED","total_offer_discount":99.99,"discount_share":{"swiggy_discount":0,"store_discount":99.99,"alliance_discount":0},"discount_type":"FLAT","description":"Flat ₹100 off","fixed_charges":{"gp":{"id":"","final_price":0}}}]</t>
  </si>
  <si>
    <t>2024-01-16 17:32:52</t>
  </si>
  <si>
    <t>2024-01-16 17:33:03</t>
  </si>
  <si>
    <t>Pravin Kumar</t>
  </si>
  <si>
    <t>[{"id":"4102e284-fde9-40d3-b050-82926746d231","super_type":"SUPERTYPE_UNSPECIFIED","total_offer_discount":99.99,"discount_share":{"swiggy_discount":0,"store_discount":99.99,"alliance_discount":0},"discount_type":"FLAT","description":"Flat ₹100 off","fixed_charges":{"gp":{"id":"","final_price":0}}}]</t>
  </si>
  <si>
    <t>2024-01-16 17:30:27</t>
  </si>
  <si>
    <t>2024-01-16 17:30:32</t>
  </si>
  <si>
    <t>[{"id":"e869bbb4-07f7-44d5-a519-1acaeadf5e53","super_type":"SUPERTYPE_UNSPECIFIED","total_offer_discount":99.99,"discount_share":{"swiggy_discount":29.99,"store_discount":70,"alliance_discount":0},"discount_type":"FLAT","description":"FLAT100 off","fixed_charges":{"gp":{"id":"","final_price":0}}}]</t>
  </si>
  <si>
    <t>2024-01-14 14:19:25</t>
  </si>
  <si>
    <t>2024-01-14 14:19:42</t>
  </si>
  <si>
    <t>Siddartha U</t>
  </si>
  <si>
    <t>375045</t>
  </si>
  <si>
    <t>Paratha Envy</t>
  </si>
  <si>
    <t>NO.504, 2ND FLOOR, 6TH CROSS, 6TH BLOCK, KORAMANGALA BANGALORE., BTM Layout, B.B.M.P South, Karnataka-560095</t>
  </si>
  <si>
    <t>12.937246,77.624643</t>
  </si>
  <si>
    <t>2024-01-09 01:01:28</t>
  </si>
  <si>
    <t>2024-01-09 01:01:48</t>
  </si>
  <si>
    <t>Binoy Debbarma</t>
  </si>
  <si>
    <t>23682</t>
  </si>
  <si>
    <t>McDonald's</t>
  </si>
  <si>
    <t>HSR Layout #1, 14th Main,HSR LSector VII, Bengaluru- 56102.</t>
  </si>
  <si>
    <t>12.91207388,77.6380679</t>
  </si>
  <si>
    <t>[{"id":"c5752e1c-f5c2-4414-85fa-57de3a043c19","super_type":"SUPERTYPE_UNSPECIFIED","total_offer_discount":35.7,"discount_share":{"swiggy_discount":0,"store_discount":35.7,"alliance_discount":0},"discount_type":"PERCENTAGE","description":"10% off","fixed_charges":{"gp":{"id":"","final_price":0}}}]</t>
  </si>
  <si>
    <t>2023-12-31 20:34:35</t>
  </si>
  <si>
    <t>2023-12-31 20:34:53</t>
  </si>
  <si>
    <t xml:space="preserve">SUMANMANDAL </t>
  </si>
  <si>
    <t>2023-12-31 20:29:21</t>
  </si>
  <si>
    <t>2023-12-31 20:29:27</t>
  </si>
  <si>
    <t>Mohammad Wasim Akram</t>
  </si>
  <si>
    <t>12.909368,77.638656</t>
  </si>
  <si>
    <t>CELEBRATIONS</t>
  </si>
  <si>
    <t>[{"id":"0cf35ab8-1dc8-4c78-8500-44beda4d0877","super_type":"SUPERTYPE_UNSPECIFIED","total_offer_discount":174.99,"discount_share":{"swiggy_discount":52.5,"store_discount":122.49,"alliance_discount":0},"discount_type":"FLAT","description":"Flat ₹175 off","fixed_charges":{"gp":{"id":"","final_price":0}}}]</t>
  </si>
  <si>
    <t>2023-12-26 15:19:03</t>
  </si>
  <si>
    <t>2023-12-26 15:19:25</t>
  </si>
  <si>
    <t>UMESH</t>
  </si>
  <si>
    <t>398360</t>
  </si>
  <si>
    <t>Burger Seigneur</t>
  </si>
  <si>
    <t>#717, 10th main road 2nd cross Hosapalya Opposite of Subodhini English high school ITI layout sector 7.</t>
  </si>
  <si>
    <t>MANGAMMANAPALYA</t>
  </si>
  <si>
    <t>12.90073452,77.6400283</t>
  </si>
  <si>
    <t>ITI layout, Hosapalya</t>
  </si>
  <si>
    <t>[{"id":"8493942f-3551-4789-a766-bd2e8eab5603","super_type":"SUPERTYPE_UNSPECIFIED","total_offer_discount":80,"discount_share":{"swiggy_discount":12,"store_discount":68,"alliance_discount":0},"discount_type":"PERCENTAGE","description":"40% off","fixed_charges":{"gp":{"id":"","final_price":0}}}]</t>
  </si>
  <si>
    <t>2023-12-25 13:37:43</t>
  </si>
  <si>
    <t>2023-12-25 13:38:02</t>
  </si>
  <si>
    <t>UNOOSE YUSUF</t>
  </si>
  <si>
    <t>[{"id":"485642ce-1796-4eab-9811-3ff5e4b7d538","super_type":"SUPERTYPE_UNSPECIFIED","total_offer_discount":80,"discount_share":{"swiggy_discount":28,"store_discount":52,"alliance_discount":0},"discount_type":"PERCENTAGE","description":"40% off","fixed_charges":{"gp":{"id":"","final_price":0}}}]</t>
  </si>
  <si>
    <t>2023-12-09 14:07:16</t>
  </si>
  <si>
    <t>2023-12-09 14:07:34</t>
  </si>
  <si>
    <t xml:space="preserve">Irfanirfu </t>
  </si>
  <si>
    <t>[{"id":"bf585ef3-1522-4981-b7a7-5e366761dbce","super_type":"SUPERTYPE_UNSPECIFIED","total_offer_discount":80,"discount_share":{"swiggy_discount":28,"store_discount":52,"alliance_discount":0},"discount_type":"PERCENTAGE","description":"40% off","fixed_charges":{"gp":{"id":"","final_price":0}}}]</t>
  </si>
  <si>
    <t>2023-12-02 13:46:34</t>
  </si>
  <si>
    <t>2023-12-02 13:46:52</t>
  </si>
  <si>
    <t>SIKENDAR KUMAR YADAV</t>
  </si>
  <si>
    <t>[{"id":"a17455c6-6016-48b5-95c0-933ae258bf5c","super_type":"SUPERTYPE_UNSPECIFIED","total_offer_discount":120,"discount_share":{"swiggy_discount":36,"store_discount":84,"alliance_discount":0},"discount_type":"PERCENTAGE","description":"60% off","fixed_charges":{"gp":{"id":"","final_price":0}}}]</t>
  </si>
  <si>
    <t>2023-11-26 13:41:26</t>
  </si>
  <si>
    <t>2023-11-26 13:41:50</t>
  </si>
  <si>
    <t>Rajasekar Reddy</t>
  </si>
  <si>
    <t>81810</t>
  </si>
  <si>
    <t>Tharavadu family restaurant</t>
  </si>
  <si>
    <t>1st FLOOR, NO.116/1, HOSUR MAIN ROAD, MANGAMMANAPALYA CROSS, BOMMANAHALLI , Bommenahalli , Bangalore South, Bangalore Urban, Karnataka-560068</t>
  </si>
  <si>
    <t>Hosur Main Road</t>
  </si>
  <si>
    <t>12.906146,77.629745</t>
  </si>
  <si>
    <t>Bommanahalli</t>
  </si>
  <si>
    <t>[{"id":"3be8626e-f3e3-4950-bcca-639767fe94cf","super_type":"SUPERTYPE_UNSPECIFIED","total_offer_discount":100,"discount_share":{"swiggy_discount":0,"store_discount":100,"alliance_discount":0},"discount_type":"FLAT","description":"FLAT100 off","fixed_charges":{"gp":{"id":"","final_price":0}}}]</t>
  </si>
  <si>
    <t>2023-11-23 14:43:51</t>
  </si>
  <si>
    <t>2023-11-23 14:44:09</t>
  </si>
  <si>
    <t>Jayadev Behera</t>
  </si>
  <si>
    <t>700113</t>
  </si>
  <si>
    <t>The Best Thickshakes Co</t>
  </si>
  <si>
    <t>1237, Sri Sai Crystal 17th cross, 5th Main Rd, HSR Layout, Bengaluru, Karnataka 560102</t>
  </si>
  <si>
    <t>5th Main Rd</t>
  </si>
  <si>
    <t>12.912028,77.632327</t>
  </si>
  <si>
    <t>HSR</t>
  </si>
  <si>
    <t>KINGK50</t>
  </si>
  <si>
    <t>[{"id":"03ca3c14-fff6-467e-ae52-d8c251b67a76","super_type":"SUPERTYPE_UNSPECIFIED","total_offer_discount":50.01,"discount_share":{"swiggy_discount":50.01,"store_discount":0,"alliance_discount":0},"discount_type":"FLAT","description":"Flat ₹200 off","fixed_charges":{"gp":{"id":"","final_price":0}},"applied_as":"SHADOW","base_offers":[{"offer_id":"92c138b0-4008-4a46-83f9-f28b6636521d","coupon_code":"WORLDCUPMANIA"}]},{"id":"92c138b0-4008-4a46-83f9-f28b6636521d","super_type":"SUPERTYPE_UNSPECIFIED","total_offer_discount":149.97,"discount_share":{"swiggy_discount":30.01,"store_discount":119.96,"alliance_discount":0},"discount_type":"FLAT","description":"FLAT150 off","fixed_charges":{"gp":{"id":"","final_price":0}}}]</t>
  </si>
  <si>
    <t>2023-11-15 19:00:06</t>
  </si>
  <si>
    <t>2023-11-15 19:00:24</t>
  </si>
  <si>
    <t>MOSTAFIZAR RAHAMAN</t>
  </si>
  <si>
    <t>2023-11-08 19:23:36</t>
  </si>
  <si>
    <t>2023-11-08 19:23:57</t>
  </si>
  <si>
    <t>Eresha</t>
  </si>
  <si>
    <t>244004</t>
  </si>
  <si>
    <t>Wow! Momo</t>
  </si>
  <si>
    <t>WOW MOMO NO1 120 14th main road 5th sector HSR layout Bangalore BTM layout BBMP south  Karnataka  560102</t>
  </si>
  <si>
    <t>5th sector</t>
  </si>
  <si>
    <t>12.9161961,77.6377847</t>
  </si>
  <si>
    <t>2023-11-07 19:16:54</t>
  </si>
  <si>
    <t>2023-11-07 19:17:27</t>
  </si>
  <si>
    <t xml:space="preserve">Hasnul Hoque Choudhury </t>
  </si>
  <si>
    <t>Doddakanneli Village</t>
  </si>
  <si>
    <t>12.9092988,77.6877346</t>
  </si>
  <si>
    <t>WORLDCUPMANIA</t>
  </si>
  <si>
    <t>[{"id":"fcc09378-6922-4b80-a505-f2cda5e1f89c","super_type":"SUPERTYPE_UNSPECIFIED","total_offer_discount":150,"discount_share":{"swiggy_discount":75,"store_discount":75,"alliance_discount":0},"discount_type":"FLAT","description":"FLAT150 off","fixed_charges":{"gp":{"id":"","final_price":0}}}]</t>
  </si>
  <si>
    <t>2023-11-05 11:25:39</t>
  </si>
  <si>
    <t>2023-11-05 11:25:54</t>
  </si>
  <si>
    <t>SAYAD SAHABUDDIN ALLI</t>
  </si>
  <si>
    <t>12.91183127,77.64382903</t>
  </si>
  <si>
    <t>[{"id":"078f55cb-bc8e-4ef0-bdc1-3980cdc6873c","super_type":"SUPERTYPE_UNSPECIFIED","total_offer_discount":150,"discount_share":{"swiggy_discount":45,"store_discount":105,"alliance_discount":0},"discount_type":"FLAT","description":"FLAT150 off","fixed_charges":{"gp":{"id":"","final_price":0}}}]</t>
  </si>
  <si>
    <t>2023-11-04 20:05:23</t>
  </si>
  <si>
    <t>2023-11-04 20:05:40</t>
  </si>
  <si>
    <t>Susanta Das</t>
  </si>
  <si>
    <t>2023-11-04 09:55:41</t>
  </si>
  <si>
    <t>2023-11-04 09:55:59</t>
  </si>
  <si>
    <t>MANAS KUMAR SETHI</t>
  </si>
  <si>
    <t>62430</t>
  </si>
  <si>
    <t>Dosa Chicken &amp; Tiffins</t>
  </si>
  <si>
    <t>235, 9th Main Road, Sector 7, HSR Layout, Sector 7, HSR Layout, Bengaluru, Karnataka 560102</t>
  </si>
  <si>
    <t>12.912837,77.63510900000006</t>
  </si>
  <si>
    <t>[{"id":"56bb9bfb-bb7d-4334-9bfa-0b49fa1625e7","super_type":"SUPERTYPE_UNSPECIFIED","total_offer_discount":50,"discount_share":{"swiggy_discount":25,"store_discount":25,"alliance_discount":0},"discount_type":"PERCENTAGE","description":"20% off","fixed_charges":{"gp":{"id":"","final_price":0}}}]</t>
  </si>
  <si>
    <t>2023-10-26 14:12:16</t>
  </si>
  <si>
    <t>2023-10-26 14:12:30</t>
  </si>
  <si>
    <t xml:space="preserve">danush </t>
  </si>
  <si>
    <t>2023-10-25 19:37:59</t>
  </si>
  <si>
    <t>2023-10-25 19:38:20</t>
  </si>
  <si>
    <t>Periyasami</t>
  </si>
  <si>
    <t>488099</t>
  </si>
  <si>
    <t>The Himalayan Momo Company</t>
  </si>
  <si>
    <t>73, 27 th Main Road,Phase 3, Agara Village,1 st Sector</t>
  </si>
  <si>
    <t>12.920751,77.650396</t>
  </si>
  <si>
    <t>LUNCHBINGE</t>
  </si>
  <si>
    <t>[{"id":"ea6bee14-f548-4089-84e7-e3203d403723","super_type":"SUPERTYPE_UNSPECIFIED","total_offer_discount":99.99,"discount_share":{"swiggy_discount":30,"store_discount":69.99,"alliance_discount":0},"discount_type":"FLAT","description":"FLAT100 off","fixed_charges":{"gp":{"id":"","final_price":0}}}]</t>
  </si>
  <si>
    <t>2023-10-24 11:14:20</t>
  </si>
  <si>
    <t>2023-10-24 11:14:46</t>
  </si>
  <si>
    <t>SATHISHIUMAR G S</t>
  </si>
  <si>
    <t>348329</t>
  </si>
  <si>
    <t>NO.1560/1435/33, K SOMASHEKHAR REDDY, KAIKONDRAHALLI, BANGALORE., Mahadevapura , B.B.M.P East, Karnataka-560035</t>
  </si>
  <si>
    <t>12.9075344,77.67582123</t>
  </si>
  <si>
    <t>UPIIntent</t>
  </si>
  <si>
    <t>[{"id":"3bd1bb74-de3a-4270-a72c-02c43dcf7ce4","super_type":"SUPERTYPE_UNSPECIFIED","total_offer_discount":150,"discount_share":{"swiggy_discount":75,"store_discount":75,"alliance_discount":0},"discount_type":"FLAT","description":"FLAT150 off","fixed_charges":{"gp":{"id":"","final_price":0}}}]</t>
  </si>
  <si>
    <t>2023-10-22 20:25:28</t>
  </si>
  <si>
    <t>2023-10-22 20:25:40</t>
  </si>
  <si>
    <t>RAHULB B</t>
  </si>
  <si>
    <t>[{"id":"8f719de5-eb1b-4866-993e-5d0ef85a8583","super_type":"SUPERTYPE_UNSPECIFIED","total_offer_discount":149.98000000000002,"discount_share":{"swiggy_discount":30,"store_discount":119.98,"alliance_discount":0},"discount_type":"FLAT","description":"FLAT150 off","fixed_charges":{"gp":{"id":"","final_price":0}}}]</t>
  </si>
  <si>
    <t>2023-10-22 11:17:21</t>
  </si>
  <si>
    <t>2023-10-22 11:17:36</t>
  </si>
  <si>
    <t xml:space="preserve">Rajesh das </t>
  </si>
  <si>
    <t>2023-10-21 18:54:35</t>
  </si>
  <si>
    <t>2023-10-21 18:54:52</t>
  </si>
  <si>
    <t>Dibyajit Phukan</t>
  </si>
  <si>
    <t>55737</t>
  </si>
  <si>
    <t>Kairali Restaurant</t>
  </si>
  <si>
    <t>32/21 near Maruti showroom outer ring road belladur Bangalore</t>
  </si>
  <si>
    <t>Outer Ring Road</t>
  </si>
  <si>
    <t>12.928069,77.679204</t>
  </si>
  <si>
    <t>TRYNEW-XL</t>
  </si>
  <si>
    <t>[{"id":"b78bb0be-4ca2-4b04-af1e-66e991460b12","super_type":"SUPERTYPE_UNSPECIFIED","total_offer_discount":62.099999999999994,"discount_share":{"swiggy_discount":18.63,"store_discount":43.47,"alliance_discount":0},"discount_type":"PERCENTAGE","description":"30% off","fixed_charges":{"gp":{"id":"","final_price":0}}}]</t>
  </si>
  <si>
    <t>2023-10-19 07:58:24</t>
  </si>
  <si>
    <t>2023-10-19 07:58:54</t>
  </si>
  <si>
    <t>Debasish Mahapatra</t>
  </si>
  <si>
    <t>201224</t>
  </si>
  <si>
    <t>Asha tiffins</t>
  </si>
  <si>
    <t>Asha Tiffins, 5th Main Road, Sector 7, HSR Layout, Bengaluru, Karnataka, India</t>
  </si>
  <si>
    <t>12.911856,77.6325489999999</t>
  </si>
  <si>
    <t>[{"id":"6ee62658-3aa8-497e-8248-ac41eba5d5ef","super_type":"SUPERTYPE_UNSPECIFIED","total_offer_discount":50,"discount_share":{"swiggy_discount":15,"store_discount":35,"alliance_discount":0},"discount_type":"PERCENTAGE","description":"20% off","fixed_charges":{"gp":{"id":"","final_price":0}}}]</t>
  </si>
  <si>
    <t>2023-10-09 18:36:35</t>
  </si>
  <si>
    <t>2023-10-09 18:36:50</t>
  </si>
  <si>
    <t>Anil Kumar Yadav</t>
  </si>
  <si>
    <t>709170</t>
  </si>
  <si>
    <t>Imperio Restaurant</t>
  </si>
  <si>
    <t>imperio restaurant , 495, 17th Cross Rd, Parangi Palaya, Sector 2, HSR Layout, Bengaluru, Karnataka</t>
  </si>
  <si>
    <t>Sector 2</t>
  </si>
  <si>
    <t>12.91181824,77.6495233</t>
  </si>
  <si>
    <t>2023-09-29 10:42:32</t>
  </si>
  <si>
    <t>2023-09-29 10:42:49</t>
  </si>
  <si>
    <t>Jaydev nath</t>
  </si>
  <si>
    <t>[{"id":"60385055-547d-4c3b-bef2-75f14c9cfb0d","super_type":"SUPERTYPE_UNSPECIFIED","total_offer_discount":119.99,"discount_share":{"swiggy_discount":36,"store_discount":83.99,"alliance_discount":0},"discount_type":"PERCENTAGE","description":"60% off","fixed_charges":{"gp":{"id":"","final_price":0}}}]</t>
  </si>
  <si>
    <t>2023-09-25 16:02:34</t>
  </si>
  <si>
    <t>2023-09-25 16:03:35</t>
  </si>
  <si>
    <t>Prakash Dalabehera</t>
  </si>
  <si>
    <t>2023-09-23 15:56:11</t>
  </si>
  <si>
    <t>2023-09-23 15:56:34</t>
  </si>
  <si>
    <t>Akshay Akshay</t>
  </si>
  <si>
    <t>567783</t>
  </si>
  <si>
    <t>HSR Freshcane Juice</t>
  </si>
  <si>
    <t>NO 2333, 24TH MAIN,17TH CROSS SECTOR NO 1, HSR LAYOUT, Bommanahalli , B.B.M.P South, , Karnataka, 560102</t>
  </si>
  <si>
    <t>12.912110164242,77.648900840197</t>
  </si>
  <si>
    <t>[{"id":"0c2819fc-1836-431a-8677-00e94af123b8","super_type":"SUPERTYPE_UNSPECIFIED","total_offer_discount":49.99,"discount_share":{"swiggy_discount":15,"store_discount":34.99,"alliance_discount":0},"discount_type":"PERCENTAGE","description":"20% off","fixed_charges":{"gp":{"id":"","final_price":0}}}]</t>
  </si>
  <si>
    <t>2023-09-19 12:11:47</t>
  </si>
  <si>
    <t>2023-09-19 12:12:10</t>
  </si>
  <si>
    <t>Santakar Santapriya</t>
  </si>
  <si>
    <t>2023-09-18 11:09:42</t>
  </si>
  <si>
    <t>2023-09-18 11:10:02</t>
  </si>
  <si>
    <t>Ramesh K</t>
  </si>
  <si>
    <t>SPECIALS</t>
  </si>
  <si>
    <t>[{"id":"73f920b6-b8d2-4b29-b4a9-72846208860d","super_type":"SUPERTYPE_UNSPECIFIED","total_offer_discount":80,"discount_share":{"swiggy_discount":32,"store_discount":48,"alliance_discount":0},"discount_type":"PERCENTAGE","description":"40% off","fixed_charges":{"gp":{"id":"","final_price":0}}}]</t>
  </si>
  <si>
    <t>2023-09-12 16:23:04</t>
  </si>
  <si>
    <t>2023-09-12 16:23:21</t>
  </si>
  <si>
    <t>Avverahalli Mallesh Basavesh</t>
  </si>
  <si>
    <t>PARTY</t>
  </si>
  <si>
    <t>[{"id":"1178c39c-98d9-4510-b5b7-122edfb7e4fc","super_type":"SUPERTYPE_UNSPECIFIED","total_offer_discount":138,"discount_share":{"swiggy_discount":0,"store_discount":138,"alliance_discount":0},"discount_type":"PERCENTAGE","description":"10% off","fixed_charges":{"gp":{"id":"","final_price":0}}}]</t>
  </si>
  <si>
    <t>2023-09-10 23:55:33</t>
  </si>
  <si>
    <t>2023-09-10 23:55:52</t>
  </si>
  <si>
    <t>Amitabh Kumar Pavan</t>
  </si>
  <si>
    <t>395574</t>
  </si>
  <si>
    <t>Plan B</t>
  </si>
  <si>
    <t>No 2324, 17th Cross Road, 1st Sector, HSR Layout, Bengaluru, Karnataka 560012</t>
  </si>
  <si>
    <t>12.912120631518187,77.65069759736535</t>
  </si>
  <si>
    <t>[{"id":"1178c39c-98d9-4510-b5b7-122edfb7e4fc","super_type":"SUPERTYPE_UNSPECIFIED","total_offer_discount":197,"discount_share":{"swiggy_discount":0,"store_discount":197,"alliance_discount":0},"discount_type":"PERCENTAGE","description":"10% off","fixed_charges":{"gp":{"id":"","final_price":0}}}]</t>
  </si>
  <si>
    <t>2023-09-08 21:49:47</t>
  </si>
  <si>
    <t>2023-09-08 21:50:07</t>
  </si>
  <si>
    <t>Monirul Hoque</t>
  </si>
  <si>
    <t>[{"id":"6ca97531-301c-4632-a58f-646d0afd9e01","super_type":"SUPERTYPE_UNSPECIFIED","total_offer_discount":39.8,"discount_share":{"swiggy_discount":0,"store_discount":39.8,"alliance_discount":0},"discount_type":"PERCENTAGE","description":"10% off","fixed_charges":{"gp":{"id":"","final_price":0}}}]</t>
  </si>
  <si>
    <t>2023-09-03 10:46:35</t>
  </si>
  <si>
    <t>Priyabrata Jena</t>
  </si>
  <si>
    <t>298606</t>
  </si>
  <si>
    <t>Drunken Monkey</t>
  </si>
  <si>
    <t>No.634 ground floor,5th cross,15th main ,4th block,kormangala (near chinmaya vidyalaya school),bangalore 560034</t>
  </si>
  <si>
    <t>4th Block</t>
  </si>
  <si>
    <t>12.934488559072948,77.62886978481599</t>
  </si>
  <si>
    <t>[{"id":"f80596b9-9db2-47d0-98be-dbdde4df4855","super_type":"SUPERTYPE_UNSPECIFIED","total_offer_discount":100,"discount_share":{"swiggy_discount":0,"store_discount":100,"alliance_discount":0},"discount_type":"PERCENTAGE","description":"50% off","fixed_charges":{"gp":{"id":"","final_price":0}}}]</t>
  </si>
  <si>
    <t>2023-09-02 21:21:56</t>
  </si>
  <si>
    <t>Manoj Kumar H M</t>
  </si>
  <si>
    <t>WEEKENDS</t>
  </si>
  <si>
    <t>[{"id":"e7ca910b-b1f7-4fca-81aa-29bb167a90b0","super_type":"SUPERTYPE_UNSPECIFIED","total_offer_discount":125,"discount_share":{"swiggy_discount":50,"store_discount":75,"alliance_discount":0},"discount_type":"FLAT","description":"Flat ₹125 off","fixed_charges":{"gp":{"id":"","final_price":0}}}]</t>
  </si>
  <si>
    <t>2023-09-02 13:29:33</t>
  </si>
  <si>
    <t>Raghunatha</t>
  </si>
  <si>
    <t>341895</t>
  </si>
  <si>
    <t>NO.35, 80FEET ROAD, HAL 3RD STAGE, BANGALORE  B.B.M.P East Karnataka 560075</t>
  </si>
  <si>
    <t>Indiranagar</t>
  </si>
  <si>
    <t>12.97107,77.647521</t>
  </si>
  <si>
    <t>2023-08-30 11:40:45</t>
  </si>
  <si>
    <t>Kumar R</t>
  </si>
  <si>
    <t>47603</t>
  </si>
  <si>
    <t>Truffles</t>
  </si>
  <si>
    <t>BUNDL TECHNOLOGIES PVT LTD, 1ST FLOOR, SITE NO.164, KHATA NO.684, PID NO: 658/668/684/1/164/1, BELLANDURVILLAGE, VARTHUR HOBLI, BANGALORE EAST TALUK  560103</t>
  </si>
  <si>
    <t>Green Glen Layout</t>
  </si>
  <si>
    <t>12.927332,77.669014</t>
  </si>
  <si>
    <t>2023-08-27 19:47:38</t>
  </si>
  <si>
    <t>Paresh Kumar Mohanty</t>
  </si>
  <si>
    <t>498292</t>
  </si>
  <si>
    <t>Istah - The Mediterranean Way</t>
  </si>
  <si>
    <t>88/1, Ward No, 66, Swiggy Koramangala Super Hub building, Sarjapur Road, Jakkasandra Village, Bangalore 560034</t>
  </si>
  <si>
    <t>12.925114189248388,77.6370633020997</t>
  </si>
  <si>
    <t>[{"id":"299a513a-6f7c-458c-86bb-38f205d6dbd9","super_type":"SUPERTYPE_UNSPECIFIED","total_offer_discount":109.5,"discount_share":{"swiggy_discount":21.9,"store_discount":87.6,"alliance_discount":0},"discount_type":"PERCENTAGE","description":"25% off","fixed_charges":{"gp":{"id":"","final_price":0}}}]</t>
  </si>
  <si>
    <t>2023-08-24 21:46:11</t>
  </si>
  <si>
    <t/>
  </si>
  <si>
    <t>405903</t>
  </si>
  <si>
    <t>The Thick Shake Factory</t>
  </si>
  <si>
    <t>#NO.104, SHIVALAYA, 17TH C MAIN ROAD, 5TH CROSS, KORAMANGALA, 5 TH BLOCK, BANGALORE,560095,Next to Acura Speciality Hospital,pivotal 4th floor. Karnataka - 560095</t>
  </si>
  <si>
    <t>12.935401,77.620598</t>
  </si>
  <si>
    <t>2023-08-15 22:04:33</t>
  </si>
  <si>
    <t>Asif Alli</t>
  </si>
  <si>
    <t>64914</t>
  </si>
  <si>
    <t>Kerala Panoor Restaurant</t>
  </si>
  <si>
    <t>Devarabeesanahalli Flyover, Devarabisanahalli, Bellandur, Bengaluru, Karnataka 560103</t>
  </si>
  <si>
    <t>Devarabisanahalli</t>
  </si>
  <si>
    <t>12.930556,77.68499199999997</t>
  </si>
  <si>
    <t>2023-08-13 12:07:31</t>
  </si>
  <si>
    <t>Govind Shrma</t>
  </si>
  <si>
    <t>6907</t>
  </si>
  <si>
    <t>FreshMenu</t>
  </si>
  <si>
    <t>[{"id":"6706ebc3-55e8-475e-aba5-bc6ec3ab1f6b","super_type":"SUPERTYPE_UNSPECIFIED","total_offer_discount":119.49000000000001,"discount_share":{"swiggy_discount":23.9,"store_discount":95.59,"alliance_discount":0},"discount_type":"PERCENTAGE","description":"25% off","fixed_charges":{"gp":{"id":"","final_price":0}}}]</t>
  </si>
  <si>
    <t>2023-08-09 14:42:32</t>
  </si>
  <si>
    <t>Suresh Mahal</t>
  </si>
  <si>
    <t>405912</t>
  </si>
  <si>
    <t>#87, 14TH MAIN ROAD, 4TH SECTOR, OPP: 
BDA COMPLEX, HSR LAYOUT BANGALORE-560102, Sangeetha mobile showroom Besment</t>
  </si>
  <si>
    <t>4th sector</t>
  </si>
  <si>
    <t>12.9125116379822,77.63817068570162</t>
  </si>
  <si>
    <t>2023-08-09 13:50:36</t>
  </si>
  <si>
    <t>12.9000771,77.640061</t>
  </si>
  <si>
    <t>[{"id":"0fefcb58-9f41-444e-9e59-52c620b546b5","super_type":"SUPERTYPE_UNSPECIFIED","total_offer_discount":100,"discount_share":{"swiggy_discount":25,"store_discount":75,"alliance_discount":0},"discount_type":"PERCENTAGE","description":"50% off","fixed_charges":{"gp":{"id":"","final_price":0}}}]</t>
  </si>
  <si>
    <t>2023-08-08 14:13:36</t>
  </si>
  <si>
    <t>Bimbadhar Sahoo</t>
  </si>
  <si>
    <t>394626</t>
  </si>
  <si>
    <t>La Pino'z Pizza</t>
  </si>
  <si>
    <t>La Pino'z Pizza, #11/50/3, Ambalipura, Village, Sarjapur - Marathahalli Rd, Bengaluru, Karnataka 560103</t>
  </si>
  <si>
    <t>Sarjapur - Marathahalli Rd</t>
  </si>
  <si>
    <t>12.919644,77.667114</t>
  </si>
  <si>
    <t>2023-08-06 11:26:46</t>
  </si>
  <si>
    <t>MUKESH SINGH</t>
  </si>
  <si>
    <t>12.927332,77.66901400000006</t>
  </si>
  <si>
    <t>2023-07-16 10:11:39</t>
  </si>
  <si>
    <t>Santosh Behera</t>
  </si>
  <si>
    <t>660675</t>
  </si>
  <si>
    <t>Cafe Amudham</t>
  </si>
  <si>
    <t>No. 146, 5th Block, Koramangala, Bangalore, BTM Layout , B.B.M.P South, Karnataka-560095</t>
  </si>
  <si>
    <t>5th Block Kormangala</t>
  </si>
  <si>
    <t>12.933842204939534,77.61976898008312</t>
  </si>
  <si>
    <t>2023-07-09 10:28:44</t>
  </si>
  <si>
    <t>Vivek Kumar</t>
  </si>
  <si>
    <t>416272</t>
  </si>
  <si>
    <t>Table for Tous</t>
  </si>
  <si>
    <t>146, 2nd Floor, HSR Layout, Sector 5, Ring Road, Bangalore, BTM Layout , B.B.M.P South, Karnataka - 560102</t>
  </si>
  <si>
    <t>4th Sector</t>
  </si>
  <si>
    <t>12.916462690900852,77.63573539639873</t>
  </si>
  <si>
    <t>[{"id":"981538f4-8587-489a-8b69-63a10fd9983e","super_type":"SUPERTYPE_UNSPECIFIED","total_offer_discount":35.8,"discount_share":{"swiggy_discount":7.16,"store_discount":28.64,"alliance_discount":0},"discount_type":"PERCENTAGE","description":"20% off","fixed_charges":{"gp":{"id":"","final_price":0}}}]</t>
  </si>
  <si>
    <t>2023-07-08 09:14:15</t>
  </si>
  <si>
    <t>Gnanam</t>
  </si>
  <si>
    <t>Monthly wise revenue distribution</t>
  </si>
  <si>
    <t>Row Labels</t>
  </si>
  <si>
    <t>Sum of net_total</t>
  </si>
  <si>
    <t>What proportion of total orders utilized a coupon ?</t>
  </si>
  <si>
    <t>Area wise Revenue</t>
  </si>
  <si>
    <t>Non_Veg</t>
  </si>
  <si>
    <t>Count of order_id</t>
  </si>
  <si>
    <t>Veg</t>
  </si>
  <si>
    <t>FALSE</t>
  </si>
  <si>
    <t>TRUE</t>
  </si>
  <si>
    <t>Impact of delivery distance on On-time performance</t>
  </si>
  <si>
    <t>What is the percentage of deliveries completed under rainy conditions?</t>
  </si>
  <si>
    <t>Count of on_time</t>
  </si>
  <si>
    <t>Column Labels</t>
  </si>
  <si>
    <t>Total Delivered orders</t>
  </si>
  <si>
    <t xml:space="preserve">orders delivered during rain </t>
  </si>
  <si>
    <t>%</t>
  </si>
  <si>
    <t>0-2 Km</t>
  </si>
  <si>
    <t>2-5 Km</t>
  </si>
  <si>
    <t>5-8 Km</t>
  </si>
  <si>
    <t>Coupon Discount Distribution Analysis</t>
  </si>
  <si>
    <t>Most used Payment method</t>
  </si>
  <si>
    <t>Sum of Discount 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</si>
</sst>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mmm;@"/>
    <numFmt numFmtId="165" formatCode="[$-F400]h:mm:ss\ AM/PM"/>
  </numFmts>
  <fonts count="14">
    <font>
      <sz val="11"/>
      <color theme="1"/>
      <name val="Aptos Narrow"/>
      <family val="2"/>
      <scheme val="minor"/>
    </font>
    <font>
      <b/>
      <sz val="11"/>
      <color theme="1"/>
      <name val="Aptos Narrow"/>
      <family val="2"/>
      <scheme val="minor"/>
    </font>
    <font>
      <b/>
      <sz val="11"/>
      <color theme="3"/>
      <name val="Aptos Narrow"/>
      <family val="2"/>
      <scheme val="minor"/>
    </font>
    <font>
      <sz val="11"/>
      <color theme="3"/>
      <name val="Aptos Narrow"/>
      <family val="2"/>
      <scheme val="minor"/>
    </font>
    <font>
      <sz val="11"/>
      <color theme="1"/>
      <name val="Aptos Narrow"/>
      <family val="2"/>
      <scheme val="minor"/>
    </font>
    <font>
      <b/>
      <sz val="11"/>
      <color theme="1" tint="4.9989318521683403E-2"/>
      <name val="Aptos Narrow"/>
      <family val="2"/>
      <scheme val="minor"/>
    </font>
    <font>
      <sz val="11"/>
      <color theme="1" tint="4.9989318521683403E-2"/>
      <name val="Aptos Narrow"/>
      <family val="2"/>
      <scheme val="minor"/>
    </font>
    <font>
      <sz val="12"/>
      <color theme="0" tint="-4.9989318521683403E-2"/>
      <name val="Bahnschrift SemiBold SemiConden"/>
      <family val="2"/>
    </font>
    <font>
      <sz val="12"/>
      <color theme="0" tint="-4.9989318521683403E-2"/>
      <name val="Bison Bold"/>
    </font>
    <font>
      <sz val="14"/>
      <color theme="1"/>
      <name val="Bahnschrift SemiBold Condensed"/>
      <family val="2"/>
    </font>
    <font>
      <sz val="14"/>
      <color theme="0" tint="-4.9989318521683403E-2"/>
      <name val="Bahnschrift SemiBold Condensed"/>
      <family val="2"/>
    </font>
    <font>
      <sz val="16"/>
      <color theme="0" tint="-4.9989318521683403E-2"/>
      <name val="Bahnschrift Condensed"/>
      <family val="2"/>
    </font>
    <font>
      <sz val="16"/>
      <color theme="0"/>
      <name val="Bahnschrift SemiBold Condensed"/>
      <family val="2"/>
    </font>
    <font>
      <sz val="11"/>
      <color theme="1"/>
      <name val="Aptos"/>
      <family val="2"/>
    </font>
  </fonts>
  <fills count="12">
    <fill>
      <patternFill patternType="none"/>
    </fill>
    <fill>
      <patternFill patternType="gray125"/>
    </fill>
    <fill>
      <patternFill patternType="solid">
        <fgColor theme="0"/>
        <bgColor theme="9"/>
      </patternFill>
    </fill>
    <fill>
      <patternFill patternType="solid">
        <fgColor theme="0"/>
        <bgColor indexed="64"/>
      </patternFill>
    </fill>
    <fill>
      <patternFill patternType="solid">
        <fgColor theme="0"/>
        <bgColor theme="9" tint="0.79998168889431442"/>
      </patternFill>
    </fill>
    <fill>
      <patternFill patternType="solid">
        <fgColor theme="5" tint="0.79998168889431442"/>
        <bgColor indexed="64"/>
      </patternFill>
    </fill>
    <fill>
      <patternFill patternType="solid">
        <fgColor rgb="FFFFFF00"/>
        <bgColor theme="9"/>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1" tint="0.34998626667073579"/>
        <bgColor indexed="64"/>
      </patternFill>
    </fill>
    <fill>
      <patternFill patternType="solid">
        <fgColor theme="0" tint="-0.14999847407452621"/>
        <bgColor indexed="64"/>
      </patternFill>
    </fill>
    <fill>
      <patternFill patternType="solid">
        <fgColor theme="3" tint="0.79998168889431442"/>
        <bgColor indexed="64"/>
      </patternFill>
    </fill>
  </fills>
  <borders count="15">
    <border>
      <left/>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style="thin">
        <color theme="9" tint="0.39997558519241921"/>
      </right>
      <top style="thin">
        <color theme="9" tint="0.39997558519241921"/>
      </top>
      <bottom style="thin">
        <color theme="9"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theme="4" tint="0.39997558519241921"/>
      </left>
      <right/>
      <top/>
      <bottom/>
      <diagonal/>
    </border>
    <border>
      <left/>
      <right style="thin">
        <color theme="4" tint="0.39997558519241921"/>
      </right>
      <top/>
      <bottom/>
      <diagonal/>
    </border>
    <border>
      <left/>
      <right/>
      <top/>
      <bottom style="thin">
        <color theme="4" tint="0.39997558519241921"/>
      </bottom>
      <diagonal/>
    </border>
  </borders>
  <cellStyleXfs count="2">
    <xf numFmtId="0" fontId="0" fillId="0" borderId="0"/>
    <xf numFmtId="43" fontId="4" fillId="0" borderId="0" applyFont="0" applyFill="0" applyBorder="0" applyAlignment="0" applyProtection="0"/>
  </cellStyleXfs>
  <cellXfs count="71">
    <xf numFmtId="0" fontId="0" fillId="0" borderId="0" xfId="0"/>
    <xf numFmtId="1" fontId="0" fillId="0" borderId="0" xfId="0" applyNumberFormat="1"/>
    <xf numFmtId="0" fontId="0" fillId="4" borderId="2" xfId="0" applyFill="1" applyBorder="1"/>
    <xf numFmtId="0" fontId="0" fillId="4" borderId="3" xfId="0" applyFill="1" applyBorder="1"/>
    <xf numFmtId="0" fontId="0" fillId="3" borderId="2" xfId="0" applyFill="1" applyBorder="1"/>
    <xf numFmtId="0" fontId="0" fillId="3" borderId="3" xfId="0" applyFill="1" applyBorder="1"/>
    <xf numFmtId="0" fontId="1" fillId="2" borderId="2" xfId="0" applyFont="1" applyFill="1" applyBorder="1"/>
    <xf numFmtId="0" fontId="1" fillId="2" borderId="3" xfId="0" applyFont="1" applyFill="1" applyBorder="1"/>
    <xf numFmtId="0" fontId="0" fillId="3" borderId="0" xfId="0" applyFill="1"/>
    <xf numFmtId="0" fontId="0" fillId="3" borderId="1" xfId="0" applyFill="1" applyBorder="1"/>
    <xf numFmtId="0" fontId="0" fillId="3" borderId="4" xfId="0" applyFill="1" applyBorder="1"/>
    <xf numFmtId="1" fontId="0" fillId="3" borderId="0" xfId="0" applyNumberFormat="1" applyFill="1"/>
    <xf numFmtId="164" fontId="0" fillId="3" borderId="0" xfId="0" applyNumberFormat="1" applyFill="1"/>
    <xf numFmtId="17" fontId="0" fillId="5" borderId="0" xfId="0" applyNumberFormat="1" applyFill="1"/>
    <xf numFmtId="0" fontId="0" fillId="5" borderId="0" xfId="0" applyFill="1"/>
    <xf numFmtId="0" fontId="0" fillId="5" borderId="9" xfId="0" applyFill="1" applyBorder="1"/>
    <xf numFmtId="0" fontId="0" fillId="5" borderId="5" xfId="0" applyFill="1" applyBorder="1"/>
    <xf numFmtId="0" fontId="0" fillId="5" borderId="10" xfId="0" applyFill="1" applyBorder="1"/>
    <xf numFmtId="0" fontId="0" fillId="5" borderId="6" xfId="0" applyFill="1" applyBorder="1"/>
    <xf numFmtId="0" fontId="0" fillId="5" borderId="7" xfId="0" applyFill="1" applyBorder="1"/>
    <xf numFmtId="0" fontId="0" fillId="5" borderId="8" xfId="0" applyFill="1" applyBorder="1"/>
    <xf numFmtId="0" fontId="0" fillId="0" borderId="0" xfId="0" applyNumberFormat="1"/>
    <xf numFmtId="1" fontId="3" fillId="0" borderId="0" xfId="0" applyNumberFormat="1" applyFont="1"/>
    <xf numFmtId="0" fontId="3" fillId="0" borderId="0" xfId="0" applyFont="1"/>
    <xf numFmtId="0" fontId="3" fillId="0" borderId="0" xfId="0" applyNumberFormat="1" applyFont="1"/>
    <xf numFmtId="17" fontId="3" fillId="5" borderId="0" xfId="0" applyNumberFormat="1" applyFont="1" applyFill="1"/>
    <xf numFmtId="0" fontId="3" fillId="5" borderId="0" xfId="0" applyFont="1" applyFill="1"/>
    <xf numFmtId="0" fontId="3" fillId="5" borderId="9" xfId="0" applyFont="1" applyFill="1" applyBorder="1"/>
    <xf numFmtId="0" fontId="3" fillId="5" borderId="5" xfId="0" applyFont="1" applyFill="1" applyBorder="1"/>
    <xf numFmtId="0" fontId="3" fillId="5" borderId="10" xfId="0" applyFont="1" applyFill="1" applyBorder="1"/>
    <xf numFmtId="0" fontId="3" fillId="5" borderId="12" xfId="0" applyFont="1" applyFill="1" applyBorder="1"/>
    <xf numFmtId="0" fontId="3" fillId="5" borderId="0" xfId="0" applyFont="1" applyFill="1" applyBorder="1"/>
    <xf numFmtId="0" fontId="3" fillId="5" borderId="13" xfId="0" applyFont="1" applyFill="1" applyBorder="1"/>
    <xf numFmtId="0" fontId="2" fillId="6" borderId="11" xfId="0" applyNumberFormat="1" applyFont="1" applyFill="1" applyBorder="1" applyAlignment="1">
      <alignment vertical="center"/>
    </xf>
    <xf numFmtId="1" fontId="2" fillId="6" borderId="11" xfId="0" applyNumberFormat="1" applyFont="1" applyFill="1" applyBorder="1" applyAlignment="1">
      <alignment horizontal="center" vertical="center"/>
    </xf>
    <xf numFmtId="0" fontId="2" fillId="6" borderId="11" xfId="0" applyFont="1" applyFill="1" applyBorder="1" applyAlignment="1">
      <alignment horizontal="center" vertical="center"/>
    </xf>
    <xf numFmtId="0" fontId="2" fillId="6" borderId="11" xfId="0" applyNumberFormat="1" applyFont="1" applyFill="1" applyBorder="1" applyAlignment="1">
      <alignment horizontal="center" vertical="center"/>
    </xf>
    <xf numFmtId="0" fontId="2" fillId="7" borderId="11" xfId="0" applyFont="1" applyFill="1" applyBorder="1" applyAlignment="1">
      <alignment horizontal="center" vertical="center"/>
    </xf>
    <xf numFmtId="0" fontId="0" fillId="0" borderId="0" xfId="0" applyNumberFormat="1" applyAlignment="1"/>
    <xf numFmtId="0" fontId="3" fillId="0" borderId="0" xfId="0" applyNumberFormat="1" applyFont="1" applyAlignment="1">
      <alignment horizontal="center" vertical="center"/>
    </xf>
    <xf numFmtId="1" fontId="0" fillId="4" borderId="2" xfId="0" applyNumberFormat="1" applyFill="1" applyBorder="1"/>
    <xf numFmtId="1" fontId="0" fillId="3" borderId="2" xfId="0" applyNumberFormat="1" applyFill="1" applyBorder="1"/>
    <xf numFmtId="1" fontId="0" fillId="3" borderId="1" xfId="0" applyNumberFormat="1" applyFill="1" applyBorder="1"/>
    <xf numFmtId="1" fontId="5" fillId="2" borderId="0" xfId="0" applyNumberFormat="1" applyFont="1" applyFill="1" applyBorder="1"/>
    <xf numFmtId="0" fontId="5" fillId="2" borderId="0" xfId="0" applyFont="1" applyFill="1" applyBorder="1"/>
    <xf numFmtId="0" fontId="0" fillId="0" borderId="0" xfId="0" pivotButton="1"/>
    <xf numFmtId="0" fontId="0" fillId="0" borderId="0" xfId="0" applyAlignment="1">
      <alignment horizontal="left" indent="1"/>
    </xf>
    <xf numFmtId="0" fontId="0" fillId="0" borderId="0" xfId="0" applyAlignment="1">
      <alignment horizontal="left"/>
    </xf>
    <xf numFmtId="10" fontId="0" fillId="0" borderId="0" xfId="0" applyNumberFormat="1"/>
    <xf numFmtId="0" fontId="6" fillId="7" borderId="0" xfId="0" applyFont="1" applyFill="1"/>
    <xf numFmtId="0" fontId="6" fillId="0" borderId="0" xfId="0" applyFont="1"/>
    <xf numFmtId="0" fontId="6" fillId="0" borderId="0" xfId="0" applyNumberFormat="1" applyFont="1"/>
    <xf numFmtId="10" fontId="6" fillId="7" borderId="0" xfId="0" applyNumberFormat="1" applyFont="1" applyFill="1"/>
    <xf numFmtId="10" fontId="6" fillId="0" borderId="0" xfId="0" applyNumberFormat="1" applyFont="1"/>
    <xf numFmtId="17" fontId="0" fillId="0" borderId="0" xfId="0" applyNumberFormat="1" applyAlignment="1">
      <alignment horizontal="left"/>
    </xf>
    <xf numFmtId="165" fontId="2" fillId="6" borderId="11" xfId="0" applyNumberFormat="1" applyFont="1" applyFill="1" applyBorder="1" applyAlignment="1">
      <alignment horizontal="center" vertical="center"/>
    </xf>
    <xf numFmtId="165" fontId="3" fillId="0" borderId="0" xfId="0" applyNumberFormat="1" applyFont="1"/>
    <xf numFmtId="165" fontId="0" fillId="0" borderId="0" xfId="0" applyNumberFormat="1"/>
    <xf numFmtId="0" fontId="5" fillId="8" borderId="14" xfId="0" applyFont="1" applyFill="1" applyBorder="1"/>
    <xf numFmtId="0" fontId="0" fillId="8" borderId="14" xfId="0" applyFont="1" applyFill="1" applyBorder="1"/>
    <xf numFmtId="1" fontId="6" fillId="0" borderId="0" xfId="0" applyNumberFormat="1" applyFont="1"/>
    <xf numFmtId="43" fontId="0" fillId="0" borderId="0" xfId="1" applyFont="1"/>
    <xf numFmtId="0" fontId="13" fillId="11" borderId="0" xfId="0" applyFont="1" applyFill="1"/>
    <xf numFmtId="0" fontId="0" fillId="11" borderId="0" xfId="0" applyFill="1"/>
    <xf numFmtId="0" fontId="0" fillId="0" borderId="0" xfId="0" applyAlignment="1">
      <alignment horizontal="center"/>
    </xf>
    <xf numFmtId="0" fontId="11" fillId="9" borderId="0" xfId="0" applyFont="1" applyFill="1" applyAlignment="1">
      <alignment horizontal="center" vertical="center"/>
    </xf>
    <xf numFmtId="0" fontId="12" fillId="9" borderId="0" xfId="0" applyFont="1" applyFill="1" applyAlignment="1">
      <alignment horizontal="center" vertical="center"/>
    </xf>
    <xf numFmtId="0" fontId="7" fillId="9" borderId="0" xfId="0" applyFont="1" applyFill="1" applyAlignment="1">
      <alignment horizontal="center" vertical="center"/>
    </xf>
    <xf numFmtId="0" fontId="8" fillId="9" borderId="0" xfId="0" applyFont="1" applyFill="1" applyAlignment="1">
      <alignment horizontal="left" vertical="center"/>
    </xf>
    <xf numFmtId="0" fontId="10" fillId="9" borderId="0" xfId="0" applyFont="1" applyFill="1" applyAlignment="1">
      <alignment horizontal="center" vertical="center"/>
    </xf>
    <xf numFmtId="0" fontId="9" fillId="10" borderId="11" xfId="0" applyFont="1" applyFill="1" applyBorder="1" applyAlignment="1">
      <alignment horizontal="center" vertical="center"/>
    </xf>
  </cellXfs>
  <cellStyles count="2">
    <cellStyle name="Comma" xfId="1" builtinId="3"/>
    <cellStyle name="Normal" xfId="0" builtinId="0"/>
  </cellStyles>
  <dxfs count="67">
    <dxf>
      <font>
        <strike val="0"/>
        <outline val="0"/>
        <shadow val="0"/>
        <u val="none"/>
        <vertAlign val="baseline"/>
        <sz val="11"/>
        <color theme="1" tint="4.9989318521683403E-2"/>
        <name val="Aptos Narrow"/>
        <family val="2"/>
        <scheme val="minor"/>
      </font>
      <numFmt numFmtId="14" formatCode="0.00%"/>
    </dxf>
    <dxf>
      <font>
        <strike val="0"/>
        <outline val="0"/>
        <shadow val="0"/>
        <u val="none"/>
        <vertAlign val="baseline"/>
        <sz val="11"/>
        <color theme="1" tint="4.9989318521683403E-2"/>
        <name val="Aptos Narrow"/>
        <family val="2"/>
        <scheme val="minor"/>
      </font>
    </dxf>
    <dxf>
      <font>
        <strike val="0"/>
        <outline val="0"/>
        <shadow val="0"/>
        <u val="none"/>
        <vertAlign val="baseline"/>
        <sz val="11"/>
        <color theme="3"/>
        <name val="Aptos Narrow"/>
        <family val="2"/>
        <scheme val="minor"/>
      </font>
      <fill>
        <patternFill patternType="solid">
          <fgColor indexed="64"/>
          <bgColor theme="5" tint="0.79998168889431442"/>
        </patternFill>
      </fill>
      <border diagonalUp="0" diagonalDown="0" outline="0">
        <left/>
        <right style="thin">
          <color theme="4" tint="0.39997558519241921"/>
        </right>
        <top style="thin">
          <color theme="4" tint="0.39997558519241921"/>
        </top>
        <bottom/>
      </border>
    </dxf>
    <dxf>
      <font>
        <strike val="0"/>
        <outline val="0"/>
        <shadow val="0"/>
        <u val="none"/>
        <vertAlign val="baseline"/>
        <sz val="11"/>
        <color theme="3"/>
        <name val="Aptos Narrow"/>
        <family val="2"/>
        <scheme val="minor"/>
      </font>
      <fill>
        <patternFill patternType="solid">
          <fgColor indexed="64"/>
          <bgColor theme="5" tint="0.79998168889431442"/>
        </patternFill>
      </fill>
      <border diagonalUp="0" diagonalDown="0" outline="0">
        <left/>
        <right/>
        <top style="thin">
          <color theme="4" tint="0.39997558519241921"/>
        </top>
        <bottom/>
      </border>
    </dxf>
    <dxf>
      <font>
        <strike val="0"/>
        <outline val="0"/>
        <shadow val="0"/>
        <u val="none"/>
        <vertAlign val="baseline"/>
        <sz val="11"/>
        <color theme="3"/>
        <name val="Aptos Narrow"/>
        <family val="2"/>
        <scheme val="minor"/>
      </font>
      <fill>
        <patternFill patternType="solid">
          <fgColor indexed="64"/>
          <bgColor theme="5" tint="0.79998168889431442"/>
        </patternFill>
      </fill>
      <border diagonalUp="0" diagonalDown="0" outline="0">
        <left style="thin">
          <color theme="4" tint="0.39997558519241921"/>
        </left>
        <right/>
        <top style="thin">
          <color theme="4" tint="0.39997558519241921"/>
        </top>
        <bottom/>
      </border>
    </dxf>
    <dxf>
      <font>
        <strike val="0"/>
        <outline val="0"/>
        <shadow val="0"/>
        <u val="none"/>
        <vertAlign val="baseline"/>
        <sz val="11"/>
        <color theme="3"/>
        <name val="Aptos Narrow"/>
        <family val="2"/>
        <scheme val="minor"/>
      </font>
      <fill>
        <patternFill patternType="solid">
          <fgColor indexed="64"/>
          <bgColor theme="5" tint="0.79998168889431442"/>
        </patternFill>
      </fill>
    </dxf>
    <dxf>
      <font>
        <strike val="0"/>
        <outline val="0"/>
        <shadow val="0"/>
        <u val="none"/>
        <vertAlign val="baseline"/>
        <sz val="11"/>
        <color theme="3"/>
        <name val="Aptos Narrow"/>
        <family val="2"/>
        <scheme val="minor"/>
      </font>
      <numFmt numFmtId="22" formatCode="mmm\-yy"/>
      <fill>
        <patternFill patternType="solid">
          <fgColor indexed="64"/>
          <bgColor theme="5" tint="0.79998168889431442"/>
        </patternFill>
      </fill>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b val="0"/>
        <i val="0"/>
        <strike val="0"/>
        <condense val="0"/>
        <extend val="0"/>
        <outline val="0"/>
        <shadow val="0"/>
        <u val="none"/>
        <vertAlign val="baseline"/>
        <sz val="11"/>
        <color theme="3"/>
        <name val="Aptos Narrow"/>
        <family val="2"/>
        <scheme val="minor"/>
      </font>
      <numFmt numFmtId="0" formatCode="General"/>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b val="0"/>
        <i val="0"/>
        <strike val="0"/>
        <condense val="0"/>
        <extend val="0"/>
        <outline val="0"/>
        <shadow val="0"/>
        <u val="none"/>
        <vertAlign val="baseline"/>
        <sz val="11"/>
        <color theme="3"/>
        <name val="Aptos Narrow"/>
        <family val="2"/>
        <scheme val="minor"/>
      </font>
      <numFmt numFmtId="165" formatCode="[$-F400]h:mm:ss\ AM/PM"/>
    </dxf>
    <dxf>
      <font>
        <strike val="0"/>
        <outline val="0"/>
        <shadow val="0"/>
        <u val="none"/>
        <vertAlign val="baseline"/>
        <sz val="11"/>
        <color theme="3"/>
        <name val="Aptos Narrow"/>
        <family val="2"/>
        <scheme val="minor"/>
      </font>
      <numFmt numFmtId="0" formatCode="General"/>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b val="0"/>
        <i val="0"/>
        <strike val="0"/>
        <condense val="0"/>
        <extend val="0"/>
        <outline val="0"/>
        <shadow val="0"/>
        <u val="none"/>
        <vertAlign val="baseline"/>
        <sz val="11"/>
        <color theme="3"/>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11"/>
        <color theme="3"/>
        <name val="Aptos Narrow"/>
        <family val="2"/>
        <scheme val="minor"/>
      </font>
    </dxf>
    <dxf>
      <font>
        <strike val="0"/>
        <outline val="0"/>
        <shadow val="0"/>
        <u val="none"/>
        <vertAlign val="baseline"/>
        <sz val="11"/>
        <color theme="3"/>
        <name val="Aptos Narrow"/>
        <family val="2"/>
        <scheme val="minor"/>
      </font>
    </dxf>
    <dxf>
      <font>
        <b val="0"/>
        <i val="0"/>
        <strike val="0"/>
        <condense val="0"/>
        <extend val="0"/>
        <outline val="0"/>
        <shadow val="0"/>
        <u val="none"/>
        <vertAlign val="baseline"/>
        <sz val="11"/>
        <color theme="3"/>
        <name val="Aptos Narrow"/>
        <family val="2"/>
        <scheme val="minor"/>
      </font>
      <numFmt numFmtId="1" formatCode="0"/>
    </dxf>
    <dxf>
      <font>
        <b val="0"/>
        <i val="0"/>
        <strike val="0"/>
        <condense val="0"/>
        <extend val="0"/>
        <outline val="0"/>
        <shadow val="0"/>
        <u val="none"/>
        <vertAlign val="baseline"/>
        <sz val="11"/>
        <color theme="3"/>
        <name val="Aptos Narrow"/>
        <family val="2"/>
        <scheme val="minor"/>
      </font>
      <numFmt numFmtId="1" formatCode="0"/>
    </dxf>
    <dxf>
      <font>
        <strike val="0"/>
        <outline val="0"/>
        <shadow val="0"/>
        <u val="none"/>
        <vertAlign val="baseline"/>
        <sz val="11"/>
        <color theme="3"/>
        <name val="Aptos Narrow"/>
        <family val="2"/>
        <scheme val="minor"/>
      </font>
      <numFmt numFmtId="1" formatCode="0"/>
    </dxf>
    <dxf>
      <border>
        <bottom style="thin">
          <color indexed="64"/>
        </bottom>
      </border>
    </dxf>
    <dxf>
      <font>
        <strike val="0"/>
        <outline val="0"/>
        <shadow val="0"/>
        <u val="none"/>
        <vertAlign val="baseline"/>
        <sz val="11"/>
        <color theme="3"/>
        <name val="Aptos Narrow"/>
        <family val="2"/>
        <scheme val="minor"/>
      </font>
    </dxf>
    <dxf>
      <font>
        <b/>
        <i val="0"/>
        <strike val="0"/>
        <condense val="0"/>
        <extend val="0"/>
        <outline val="0"/>
        <shadow val="0"/>
        <u val="none"/>
        <vertAlign val="baseline"/>
        <sz val="11"/>
        <color theme="3"/>
        <name val="Aptos Narrow"/>
        <family val="2"/>
        <scheme val="minor"/>
      </font>
      <fill>
        <patternFill patternType="solid">
          <fgColor theme="9"/>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9" tint="0.79998168889431442"/>
          <bgColor theme="0"/>
        </patternFill>
      </fill>
      <border diagonalUp="0" diagonalDown="0">
        <left/>
        <right/>
        <top style="thin">
          <color theme="9" tint="0.39997558519241921"/>
        </top>
        <bottom/>
        <vertical/>
        <horizontal/>
      </border>
    </dxf>
    <dxf>
      <fill>
        <patternFill patternType="solid">
          <fgColor indexed="64"/>
          <bgColor theme="0"/>
        </patternFill>
      </fill>
      <border diagonalUp="0" diagonalDown="0">
        <left/>
        <right/>
        <top style="thin">
          <color theme="9" tint="0.39997558519241921"/>
        </top>
        <bottom/>
        <vertical/>
        <horizontal/>
      </border>
    </dxf>
    <dxf>
      <fill>
        <patternFill patternType="solid">
          <fgColor indexed="64"/>
          <bgColor theme="0"/>
        </patternFill>
      </fill>
      <border diagonalUp="0" diagonalDown="0">
        <left/>
        <right/>
        <top style="thin">
          <color theme="9" tint="0.39997558519241921"/>
        </top>
        <bottom/>
        <vertical/>
        <horizontal/>
      </border>
    </dxf>
    <dxf>
      <fill>
        <patternFill patternType="solid">
          <fgColor indexed="64"/>
          <bgColor theme="0"/>
        </patternFill>
      </fill>
      <border diagonalUp="0" diagonalDown="0">
        <left/>
        <right/>
        <top style="thin">
          <color theme="9" tint="0.39997558519241921"/>
        </top>
        <bottom/>
        <vertical/>
        <horizontal/>
      </border>
    </dxf>
    <dxf>
      <numFmt numFmtId="1" formatCode="0"/>
      <fill>
        <patternFill patternType="solid">
          <fgColor indexed="64"/>
          <bgColor theme="0"/>
        </patternFill>
      </fill>
      <border diagonalUp="0" diagonalDown="0">
        <left/>
        <right/>
        <top style="thin">
          <color theme="9" tint="0.39997558519241921"/>
        </top>
        <bottom/>
        <vertical/>
        <horizontal/>
      </border>
    </dxf>
    <dxf>
      <border outline="0">
        <left style="thin">
          <color theme="9" tint="0.39997558519241921"/>
        </left>
        <top style="thin">
          <color theme="9" tint="0.39997558519241921"/>
        </top>
      </border>
    </dxf>
    <dxf>
      <fill>
        <patternFill patternType="solid">
          <fgColor indexed="64"/>
          <bgColor theme="0"/>
        </patternFill>
      </fill>
    </dxf>
    <dxf>
      <font>
        <b/>
        <i val="0"/>
        <strike val="0"/>
        <condense val="0"/>
        <extend val="0"/>
        <outline val="0"/>
        <shadow val="0"/>
        <u val="none"/>
        <vertAlign val="baseline"/>
        <sz val="11"/>
        <color theme="1" tint="4.9989318521683403E-2"/>
        <name val="Aptos Narrow"/>
        <family val="2"/>
        <scheme val="minor"/>
      </font>
      <fill>
        <patternFill patternType="solid">
          <fgColor theme="9"/>
          <bgColor theme="0"/>
        </patternFill>
      </fill>
    </dxf>
    <dxf>
      <font>
        <color theme="1" tint="4.9989318521683403E-2"/>
      </font>
    </dxf>
    <dxf>
      <font>
        <color theme="1" tint="4.9989318521683403E-2"/>
      </font>
    </dxf>
    <dxf>
      <numFmt numFmtId="1" formatCode="0"/>
    </dxf>
    <dxf>
      <font>
        <color theme="1" tint="4.9989318521683403E-2"/>
      </font>
    </dxf>
    <dxf>
      <font>
        <color theme="1" tint="4.9989318521683403E-2"/>
      </font>
    </dxf>
    <dxf>
      <numFmt numFmtId="0" formatCode="General"/>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numFmt numFmtId="1" formatCode="0"/>
    </dxf>
    <dxf>
      <font>
        <color theme="1" tint="4.9989318521683403E-2"/>
      </font>
    </dxf>
    <dxf>
      <font>
        <color theme="1" tint="4.9989318521683403E-2"/>
      </font>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34" Type="http://schemas.openxmlformats.org/officeDocument/2006/relationships/customXml" Target="../customXml/item21.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project-2,Swiggy (1).xlsx]pivot_table!PivotTable1</c:name>
    <c:fmtId val="23"/>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8280183727034126E-2"/>
              <c:y val="-2.8084354039078448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9254374453193351E-2"/>
              <c:y val="2.817840478273540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8280183727034126E-2"/>
              <c:y val="-2.8084354039078448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9254374453193351E-2"/>
              <c:y val="2.817840478273540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dLbl>
          <c:idx val="0"/>
          <c:layout>
            <c:manualLayout>
              <c:x val="8.8280183727034126E-2"/>
              <c:y val="-2.8084354039078448E-2"/>
            </c:manualLayout>
          </c:layout>
          <c:spPr>
            <a:solidFill>
              <a:schemeClr val="accent1">
                <a:alpha val="0"/>
              </a:schemeClr>
            </a:solidFill>
            <a:ln>
              <a:solidFill>
                <a:schemeClr val="tx1">
                  <a:alpha val="0"/>
                </a:schemeClr>
              </a:solidFill>
            </a:ln>
            <a:effectLst>
              <a:glow rad="127000">
                <a:schemeClr val="tx2"/>
              </a:glow>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dLbl>
          <c:idx val="0"/>
          <c:layout>
            <c:manualLayout>
              <c:x val="-2.9254374453193351E-2"/>
              <c:y val="2.8178404782735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pivot_table!$B$6</c:f>
              <c:strCache>
                <c:ptCount val="1"/>
                <c:pt idx="0">
                  <c:v>Total</c:v>
                </c:pt>
              </c:strCache>
            </c:strRef>
          </c:tx>
          <c:dPt>
            <c:idx val="0"/>
            <c:bubble3D val="0"/>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1-E52A-4B82-9840-58DC42C6DE33}"/>
              </c:ext>
            </c:extLst>
          </c:dPt>
          <c:dPt>
            <c:idx val="1"/>
            <c:bubble3D val="0"/>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3-E52A-4B82-9840-58DC42C6DE33}"/>
              </c:ext>
            </c:extLst>
          </c:dPt>
          <c:dLbls>
            <c:dLbl>
              <c:idx val="0"/>
              <c:layout>
                <c:manualLayout>
                  <c:x val="8.8280183727034126E-2"/>
                  <c:y val="-2.8084354039078448E-2"/>
                </c:manualLayout>
              </c:layout>
              <c:spPr>
                <a:solidFill>
                  <a:schemeClr val="accent1">
                    <a:alpha val="0"/>
                  </a:schemeClr>
                </a:solidFill>
                <a:ln>
                  <a:solidFill>
                    <a:schemeClr val="tx1">
                      <a:alpha val="0"/>
                    </a:schemeClr>
                  </a:solidFill>
                </a:ln>
                <a:effectLst>
                  <a:glow rad="127000">
                    <a:schemeClr val="tx2"/>
                  </a:glow>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2A-4B82-9840-58DC42C6DE33}"/>
                </c:ext>
              </c:extLst>
            </c:dLbl>
            <c:dLbl>
              <c:idx val="1"/>
              <c:layout>
                <c:manualLayout>
                  <c:x val="-2.9254374453193351E-2"/>
                  <c:y val="2.81784047827354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2A-4B82-9840-58DC42C6DE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pivot_table!$A$7:$A$8</c:f>
              <c:strCache>
                <c:ptCount val="2"/>
                <c:pt idx="0">
                  <c:v>FALSE</c:v>
                </c:pt>
                <c:pt idx="1">
                  <c:v>TRUE</c:v>
                </c:pt>
              </c:strCache>
            </c:strRef>
          </c:cat>
          <c:val>
            <c:numRef>
              <c:f>pivot_table!$B$7:$B$8</c:f>
              <c:numCache>
                <c:formatCode>General</c:formatCode>
                <c:ptCount val="2"/>
                <c:pt idx="0">
                  <c:v>17</c:v>
                </c:pt>
                <c:pt idx="1">
                  <c:v>28</c:v>
                </c:pt>
              </c:numCache>
            </c:numRef>
          </c:val>
          <c:extLst>
            <c:ext xmlns:c16="http://schemas.microsoft.com/office/drawing/2014/chart" uri="{C3380CC4-5D6E-409C-BE32-E72D297353CC}">
              <c16:uniqueId val="{00000004-E52A-4B82-9840-58DC42C6DE3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tx1">
            <a:lumMod val="85000"/>
            <a:lumOff val="15000"/>
            <a:alpha val="69000"/>
          </a:schemeClr>
        </a:solidFill>
        <a:ln>
          <a:solidFill>
            <a:schemeClr val="accent1">
              <a:alpha val="97000"/>
            </a:schemeClr>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glow>
        <a:schemeClr val="tx1"/>
      </a:glow>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536994570441934"/>
          <c:y val="0.18799114788528901"/>
          <c:w val="0.44129531315622805"/>
          <c:h val="0.66000750218679483"/>
        </c:manualLayout>
      </c:layout>
      <c:doughnutChart>
        <c:varyColors val="1"/>
        <c:ser>
          <c:idx val="0"/>
          <c:order val="0"/>
          <c:dPt>
            <c:idx val="0"/>
            <c:bubble3D val="0"/>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extLst>
              <c:ext xmlns:c16="http://schemas.microsoft.com/office/drawing/2014/chart" uri="{C3380CC4-5D6E-409C-BE32-E72D297353CC}">
                <c16:uniqueId val="{00000001-2A4F-4BFF-A9BC-C85161614A79}"/>
              </c:ext>
            </c:extLst>
          </c:dPt>
          <c:dPt>
            <c:idx val="1"/>
            <c:bubble3D val="0"/>
            <c:spPr>
              <a:gradFill rotWithShape="1">
                <a:gsLst>
                  <a:gs pos="0">
                    <a:schemeClr val="accent2"/>
                  </a:gs>
                  <a:gs pos="100000">
                    <a:schemeClr val="accent2">
                      <a:shade val="48000"/>
                      <a:satMod val="180000"/>
                      <a:lumMod val="94000"/>
                    </a:schemeClr>
                  </a:gs>
                  <a:gs pos="100000">
                    <a:schemeClr val="accent2">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extLst>
              <c:ext xmlns:c16="http://schemas.microsoft.com/office/drawing/2014/chart" uri="{C3380CC4-5D6E-409C-BE32-E72D297353CC}">
                <c16:uniqueId val="{00000003-2A4F-4BFF-A9BC-C85161614A79}"/>
              </c:ext>
            </c:extLst>
          </c:dPt>
          <c:dPt>
            <c:idx val="2"/>
            <c:bubble3D val="0"/>
            <c:spPr>
              <a:gradFill rotWithShape="1">
                <a:gsLst>
                  <a:gs pos="0">
                    <a:schemeClr val="accent3"/>
                  </a:gs>
                  <a:gs pos="100000">
                    <a:schemeClr val="accent3">
                      <a:shade val="48000"/>
                      <a:satMod val="180000"/>
                      <a:lumMod val="94000"/>
                    </a:schemeClr>
                  </a:gs>
                  <a:gs pos="100000">
                    <a:schemeClr val="accent3">
                      <a:shade val="48000"/>
                      <a:satMod val="180000"/>
                      <a:lumMod val="94000"/>
                    </a:schemeClr>
                  </a:gs>
                </a:gsLst>
                <a:lin ang="4140000" scaled="1"/>
              </a:gradFill>
              <a:ln>
                <a:noFill/>
              </a:ln>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c:spPr>
            <c:extLst>
              <c:ext xmlns:c16="http://schemas.microsoft.com/office/drawing/2014/chart" uri="{C3380CC4-5D6E-409C-BE32-E72D297353CC}">
                <c16:uniqueId val="{00000005-2A4F-4BFF-A9BC-C85161614A79}"/>
              </c:ext>
            </c:extLst>
          </c:dPt>
          <c:dLbls>
            <c:dLbl>
              <c:idx val="0"/>
              <c:layout>
                <c:manualLayout>
                  <c:x val="0.3004089544019069"/>
                  <c:y val="-0.500256488429853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4F-4BFF-A9BC-C85161614A79}"/>
                </c:ext>
              </c:extLst>
            </c:dLbl>
            <c:dLbl>
              <c:idx val="2"/>
              <c:layout>
                <c:manualLayout>
                  <c:x val="0.32816533103755363"/>
                  <c:y val="0.42848283444461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4F-4BFF-A9BC-C85161614A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pivot_table!$A$14:$C$14</c:f>
              <c:strCache>
                <c:ptCount val="3"/>
                <c:pt idx="0">
                  <c:v>Total Delivered orders</c:v>
                </c:pt>
                <c:pt idx="1">
                  <c:v>orders delivered during rain </c:v>
                </c:pt>
                <c:pt idx="2">
                  <c:v>%</c:v>
                </c:pt>
              </c:strCache>
            </c:strRef>
          </c:cat>
          <c:val>
            <c:numRef>
              <c:f>pivot_table!$A$15:$C$15</c:f>
              <c:numCache>
                <c:formatCode>General</c:formatCode>
                <c:ptCount val="3"/>
                <c:pt idx="0">
                  <c:v>108</c:v>
                </c:pt>
                <c:pt idx="1">
                  <c:v>3</c:v>
                </c:pt>
                <c:pt idx="2" formatCode="0.00%">
                  <c:v>2.7777777777777776E-2</c:v>
                </c:pt>
              </c:numCache>
            </c:numRef>
          </c:val>
          <c:extLst>
            <c:ext xmlns:c16="http://schemas.microsoft.com/office/drawing/2014/chart" uri="{C3380CC4-5D6E-409C-BE32-E72D297353CC}">
              <c16:uniqueId val="{00000006-2A4F-4BFF-A9BC-C85161614A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project-2,Swiggy (1).xlsx]pivot_table!PivotTable3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1"/>
            </a:solidFill>
            <a:ln>
              <a:noFill/>
            </a:ln>
            <a:effectLst/>
          </c:spPr>
          <c:invertIfNegative val="0"/>
          <c:cat>
            <c:multiLvlStrRef>
              <c:f>pivot_table!$D$4:$D$21</c:f>
              <c:multiLvlStrCache>
                <c:ptCount val="12"/>
                <c:lvl>
                  <c:pt idx="0">
                    <c:v>Non_Veg</c:v>
                  </c:pt>
                  <c:pt idx="1">
                    <c:v>Veg</c:v>
                  </c:pt>
                  <c:pt idx="2">
                    <c:v>Non_Veg</c:v>
                  </c:pt>
                  <c:pt idx="3">
                    <c:v>Veg</c:v>
                  </c:pt>
                  <c:pt idx="4">
                    <c:v>Non_Veg</c:v>
                  </c:pt>
                  <c:pt idx="5">
                    <c:v>Veg</c:v>
                  </c:pt>
                  <c:pt idx="6">
                    <c:v>Non_Veg</c:v>
                  </c:pt>
                  <c:pt idx="7">
                    <c:v>Veg</c:v>
                  </c:pt>
                  <c:pt idx="8">
                    <c:v>Non_Veg</c:v>
                  </c:pt>
                  <c:pt idx="9">
                    <c:v>Veg</c:v>
                  </c:pt>
                  <c:pt idx="10">
                    <c:v>Non_Veg</c:v>
                  </c:pt>
                  <c:pt idx="11">
                    <c:v>Veg</c:v>
                  </c:pt>
                </c:lvl>
                <c:lvl>
                  <c:pt idx="0">
                    <c:v>Jul-23</c:v>
                  </c:pt>
                  <c:pt idx="2">
                    <c:v>Aug-23</c:v>
                  </c:pt>
                  <c:pt idx="4">
                    <c:v>Sep-23</c:v>
                  </c:pt>
                  <c:pt idx="6">
                    <c:v>Oct-23</c:v>
                  </c:pt>
                  <c:pt idx="8">
                    <c:v>Nov-23</c:v>
                  </c:pt>
                  <c:pt idx="10">
                    <c:v>Dec-23</c:v>
                  </c:pt>
                </c:lvl>
              </c:multiLvlStrCache>
            </c:multiLvlStrRef>
          </c:cat>
          <c:val>
            <c:numRef>
              <c:f>pivot_table!$E$4:$E$21</c:f>
              <c:numCache>
                <c:formatCode>General</c:formatCode>
                <c:ptCount val="12"/>
                <c:pt idx="0">
                  <c:v>1136</c:v>
                </c:pt>
                <c:pt idx="1">
                  <c:v>356</c:v>
                </c:pt>
                <c:pt idx="2">
                  <c:v>2778</c:v>
                </c:pt>
                <c:pt idx="3">
                  <c:v>770</c:v>
                </c:pt>
                <c:pt idx="4">
                  <c:v>4365</c:v>
                </c:pt>
                <c:pt idx="5">
                  <c:v>1954</c:v>
                </c:pt>
                <c:pt idx="6">
                  <c:v>1248</c:v>
                </c:pt>
                <c:pt idx="7">
                  <c:v>710</c:v>
                </c:pt>
                <c:pt idx="8">
                  <c:v>1567</c:v>
                </c:pt>
                <c:pt idx="9">
                  <c:v>835</c:v>
                </c:pt>
                <c:pt idx="10">
                  <c:v>2211</c:v>
                </c:pt>
                <c:pt idx="11">
                  <c:v>467</c:v>
                </c:pt>
              </c:numCache>
            </c:numRef>
          </c:val>
          <c:extLst>
            <c:ext xmlns:c16="http://schemas.microsoft.com/office/drawing/2014/chart" uri="{C3380CC4-5D6E-409C-BE32-E72D297353CC}">
              <c16:uniqueId val="{00000000-6536-4781-A4BC-354CF3003750}"/>
            </c:ext>
          </c:extLst>
        </c:ser>
        <c:dLbls>
          <c:showLegendKey val="0"/>
          <c:showVal val="0"/>
          <c:showCatName val="0"/>
          <c:showSerName val="0"/>
          <c:showPercent val="0"/>
          <c:showBubbleSize val="0"/>
        </c:dLbls>
        <c:gapWidth val="219"/>
        <c:overlap val="-27"/>
        <c:axId val="935064175"/>
        <c:axId val="935064655"/>
      </c:barChart>
      <c:catAx>
        <c:axId val="93506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64655"/>
        <c:crosses val="autoZero"/>
        <c:auto val="1"/>
        <c:lblAlgn val="ctr"/>
        <c:lblOffset val="100"/>
        <c:noMultiLvlLbl val="0"/>
      </c:catAx>
      <c:valAx>
        <c:axId val="93506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6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project-2,Swiggy (1).xlsx]pivot_table!PivotTable4</c:name>
    <c:fmtId val="2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pivot_table!$H$6</c:f>
              <c:strCache>
                <c:ptCount val="1"/>
                <c:pt idx="0">
                  <c:v>Total</c:v>
                </c:pt>
              </c:strCache>
            </c:strRef>
          </c:tx>
          <c:spPr>
            <a:ln w="28575" cap="rnd">
              <a:solidFill>
                <a:schemeClr val="accent1"/>
              </a:solidFill>
              <a:round/>
            </a:ln>
            <a:effectLst/>
          </c:spPr>
          <c:marker>
            <c:symbol val="none"/>
          </c:marker>
          <c:cat>
            <c:strRef>
              <c:f>pivot_table!$G$7:$G$28</c:f>
              <c:strCache>
                <c:ptCount val="22"/>
                <c:pt idx="0">
                  <c:v>1st Block</c:v>
                </c:pt>
                <c:pt idx="1">
                  <c:v>1st Sector</c:v>
                </c:pt>
                <c:pt idx="2">
                  <c:v>3rd Sector</c:v>
                </c:pt>
                <c:pt idx="3">
                  <c:v>4th Block</c:v>
                </c:pt>
                <c:pt idx="4">
                  <c:v>4th sector</c:v>
                </c:pt>
                <c:pt idx="5">
                  <c:v>5th Block</c:v>
                </c:pt>
                <c:pt idx="6">
                  <c:v>5th Block Kormangala</c:v>
                </c:pt>
                <c:pt idx="7">
                  <c:v>5th Main Rd</c:v>
                </c:pt>
                <c:pt idx="8">
                  <c:v>5th sector</c:v>
                </c:pt>
                <c:pt idx="9">
                  <c:v>7th Sector</c:v>
                </c:pt>
                <c:pt idx="10">
                  <c:v>Bellandur Sarjapur</c:v>
                </c:pt>
                <c:pt idx="11">
                  <c:v>Devarabisanahalli</c:v>
                </c:pt>
                <c:pt idx="12">
                  <c:v>Doddakanneli Village</c:v>
                </c:pt>
                <c:pt idx="13">
                  <c:v>Green Glen Layout</c:v>
                </c:pt>
                <c:pt idx="14">
                  <c:v>Hosur Main Road</c:v>
                </c:pt>
                <c:pt idx="15">
                  <c:v>HSR Layout</c:v>
                </c:pt>
                <c:pt idx="16">
                  <c:v>Indiranagar</c:v>
                </c:pt>
                <c:pt idx="17">
                  <c:v>Kaikondrahalli</c:v>
                </c:pt>
                <c:pt idx="18">
                  <c:v>MANGAMMANAPALYA</c:v>
                </c:pt>
                <c:pt idx="19">
                  <c:v>Outer Ring Road</c:v>
                </c:pt>
                <c:pt idx="20">
                  <c:v>Sarjapur - Marathahalli Rd</c:v>
                </c:pt>
                <c:pt idx="21">
                  <c:v>Sector 2</c:v>
                </c:pt>
              </c:strCache>
            </c:strRef>
          </c:cat>
          <c:val>
            <c:numRef>
              <c:f>pivot_table!$H$7:$H$28</c:f>
              <c:numCache>
                <c:formatCode>General</c:formatCode>
                <c:ptCount val="22"/>
                <c:pt idx="0">
                  <c:v>164</c:v>
                </c:pt>
                <c:pt idx="1">
                  <c:v>3722</c:v>
                </c:pt>
                <c:pt idx="2">
                  <c:v>1636</c:v>
                </c:pt>
                <c:pt idx="3">
                  <c:v>399</c:v>
                </c:pt>
                <c:pt idx="4">
                  <c:v>1537</c:v>
                </c:pt>
                <c:pt idx="5">
                  <c:v>369</c:v>
                </c:pt>
                <c:pt idx="6">
                  <c:v>356</c:v>
                </c:pt>
                <c:pt idx="7">
                  <c:v>455</c:v>
                </c:pt>
                <c:pt idx="8">
                  <c:v>221</c:v>
                </c:pt>
                <c:pt idx="9">
                  <c:v>1523</c:v>
                </c:pt>
                <c:pt idx="10">
                  <c:v>342</c:v>
                </c:pt>
                <c:pt idx="11">
                  <c:v>504</c:v>
                </c:pt>
                <c:pt idx="12">
                  <c:v>287</c:v>
                </c:pt>
                <c:pt idx="13">
                  <c:v>946</c:v>
                </c:pt>
                <c:pt idx="14">
                  <c:v>1315</c:v>
                </c:pt>
                <c:pt idx="15">
                  <c:v>770</c:v>
                </c:pt>
                <c:pt idx="16">
                  <c:v>356</c:v>
                </c:pt>
                <c:pt idx="17">
                  <c:v>853</c:v>
                </c:pt>
                <c:pt idx="18">
                  <c:v>1676</c:v>
                </c:pt>
                <c:pt idx="19">
                  <c:v>265</c:v>
                </c:pt>
                <c:pt idx="20">
                  <c:v>171</c:v>
                </c:pt>
                <c:pt idx="21">
                  <c:v>530</c:v>
                </c:pt>
              </c:numCache>
            </c:numRef>
          </c:val>
          <c:smooth val="0"/>
          <c:extLst>
            <c:ext xmlns:c16="http://schemas.microsoft.com/office/drawing/2014/chart" uri="{C3380CC4-5D6E-409C-BE32-E72D297353CC}">
              <c16:uniqueId val="{00000000-B85F-4317-80ED-9278A1EE90FE}"/>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57525999"/>
        <c:axId val="1202699535"/>
      </c:lineChart>
      <c:catAx>
        <c:axId val="5752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699535"/>
        <c:crosses val="autoZero"/>
        <c:auto val="1"/>
        <c:lblAlgn val="ctr"/>
        <c:lblOffset val="100"/>
        <c:noMultiLvlLbl val="0"/>
      </c:catAx>
      <c:valAx>
        <c:axId val="120269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project-2,Swiggy (1).xlsx]pivot_table!PivotTable7</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96973021553831"/>
          <c:y val="0.16302421397502112"/>
          <c:w val="0.51181326328065158"/>
          <c:h val="0.75442253407937954"/>
        </c:manualLayout>
      </c:layout>
      <c:barChart>
        <c:barDir val="bar"/>
        <c:grouping val="clustered"/>
        <c:varyColors val="0"/>
        <c:ser>
          <c:idx val="0"/>
          <c:order val="0"/>
          <c:tx>
            <c:strRef>
              <c:f>pivot_table!$K$13:$K$14</c:f>
              <c:strCache>
                <c:ptCount val="1"/>
                <c:pt idx="0">
                  <c:v>FALSE</c:v>
                </c:pt>
              </c:strCache>
            </c:strRef>
          </c:tx>
          <c:spPr>
            <a:solidFill>
              <a:schemeClr val="accent1"/>
            </a:solidFill>
            <a:ln>
              <a:noFill/>
            </a:ln>
            <a:effectLst/>
          </c:spPr>
          <c:invertIfNegative val="0"/>
          <c:cat>
            <c:strRef>
              <c:f>pivot_table!$J$15:$J$17</c:f>
              <c:strCache>
                <c:ptCount val="3"/>
                <c:pt idx="0">
                  <c:v>0-2 Km</c:v>
                </c:pt>
                <c:pt idx="1">
                  <c:v>2-5 Km</c:v>
                </c:pt>
                <c:pt idx="2">
                  <c:v>5-8 Km</c:v>
                </c:pt>
              </c:strCache>
            </c:strRef>
          </c:cat>
          <c:val>
            <c:numRef>
              <c:f>pivot_table!$K$15:$K$17</c:f>
              <c:numCache>
                <c:formatCode>0.00%</c:formatCode>
                <c:ptCount val="3"/>
                <c:pt idx="0">
                  <c:v>0.41176470588235292</c:v>
                </c:pt>
                <c:pt idx="1">
                  <c:v>0.69565217391304346</c:v>
                </c:pt>
                <c:pt idx="2">
                  <c:v>0.8</c:v>
                </c:pt>
              </c:numCache>
            </c:numRef>
          </c:val>
          <c:extLst>
            <c:ext xmlns:c16="http://schemas.microsoft.com/office/drawing/2014/chart" uri="{C3380CC4-5D6E-409C-BE32-E72D297353CC}">
              <c16:uniqueId val="{00000000-A9DE-4EF9-B4CB-904CD29CB953}"/>
            </c:ext>
          </c:extLst>
        </c:ser>
        <c:ser>
          <c:idx val="1"/>
          <c:order val="1"/>
          <c:tx>
            <c:strRef>
              <c:f>pivot_table!$L$13:$L$14</c:f>
              <c:strCache>
                <c:ptCount val="1"/>
                <c:pt idx="0">
                  <c:v>TRUE</c:v>
                </c:pt>
              </c:strCache>
            </c:strRef>
          </c:tx>
          <c:spPr>
            <a:solidFill>
              <a:schemeClr val="accent2"/>
            </a:solidFill>
            <a:ln>
              <a:noFill/>
            </a:ln>
            <a:effectLst/>
          </c:spPr>
          <c:invertIfNegative val="0"/>
          <c:cat>
            <c:strRef>
              <c:f>pivot_table!$J$15:$J$17</c:f>
              <c:strCache>
                <c:ptCount val="3"/>
                <c:pt idx="0">
                  <c:v>0-2 Km</c:v>
                </c:pt>
                <c:pt idx="1">
                  <c:v>2-5 Km</c:v>
                </c:pt>
                <c:pt idx="2">
                  <c:v>5-8 Km</c:v>
                </c:pt>
              </c:strCache>
            </c:strRef>
          </c:cat>
          <c:val>
            <c:numRef>
              <c:f>pivot_table!$L$15:$L$17</c:f>
              <c:numCache>
                <c:formatCode>0.00%</c:formatCode>
                <c:ptCount val="3"/>
                <c:pt idx="0">
                  <c:v>0.58823529411764708</c:v>
                </c:pt>
                <c:pt idx="1">
                  <c:v>0.30434782608695654</c:v>
                </c:pt>
                <c:pt idx="2">
                  <c:v>0.2</c:v>
                </c:pt>
              </c:numCache>
            </c:numRef>
          </c:val>
          <c:extLst>
            <c:ext xmlns:c16="http://schemas.microsoft.com/office/drawing/2014/chart" uri="{C3380CC4-5D6E-409C-BE32-E72D297353CC}">
              <c16:uniqueId val="{00000001-A9DE-4EF9-B4CB-904CD29CB953}"/>
            </c:ext>
          </c:extLst>
        </c:ser>
        <c:dLbls>
          <c:showLegendKey val="0"/>
          <c:showVal val="0"/>
          <c:showCatName val="0"/>
          <c:showSerName val="0"/>
          <c:showPercent val="0"/>
          <c:showBubbleSize val="0"/>
        </c:dLbls>
        <c:gapWidth val="182"/>
        <c:axId val="57521199"/>
        <c:axId val="57521679"/>
      </c:barChart>
      <c:catAx>
        <c:axId val="57521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1679"/>
        <c:crosses val="autoZero"/>
        <c:auto val="1"/>
        <c:lblAlgn val="ctr"/>
        <c:lblOffset val="100"/>
        <c:noMultiLvlLbl val="0"/>
      </c:catAx>
      <c:valAx>
        <c:axId val="57521679"/>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89834131558298"/>
          <c:y val="5.7273768613974797E-2"/>
          <c:w val="0.83037313634764731"/>
          <c:h val="0.75573977866168796"/>
        </c:manualLayout>
      </c:layout>
      <c:barChart>
        <c:barDir val="col"/>
        <c:grouping val="clustered"/>
        <c:varyColors val="0"/>
        <c:ser>
          <c:idx val="0"/>
          <c:order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pivot_table!$A$31:$A$33</c:f>
              <c:strCache>
                <c:ptCount val="3"/>
                <c:pt idx="0">
                  <c:v>UPICollect</c:v>
                </c:pt>
                <c:pt idx="1">
                  <c:v>UPIIntent</c:v>
                </c:pt>
                <c:pt idx="2">
                  <c:v>Cash</c:v>
                </c:pt>
              </c:strCache>
            </c:strRef>
          </c:cat>
          <c:val>
            <c:numRef>
              <c:f>pivot_table!$B$31:$B$33</c:f>
              <c:numCache>
                <c:formatCode>General</c:formatCode>
                <c:ptCount val="3"/>
                <c:pt idx="0">
                  <c:v>81</c:v>
                </c:pt>
                <c:pt idx="1">
                  <c:v>20</c:v>
                </c:pt>
                <c:pt idx="2">
                  <c:v>6</c:v>
                </c:pt>
              </c:numCache>
            </c:numRef>
          </c:val>
          <c:extLst>
            <c:ext xmlns:c16="http://schemas.microsoft.com/office/drawing/2014/chart" uri="{C3380CC4-5D6E-409C-BE32-E72D297353CC}">
              <c16:uniqueId val="{00000000-6A39-4B16-A66E-A27C803DDD3A}"/>
            </c:ext>
          </c:extLst>
        </c:ser>
        <c:dLbls>
          <c:showLegendKey val="0"/>
          <c:showVal val="0"/>
          <c:showCatName val="0"/>
          <c:showSerName val="0"/>
          <c:showPercent val="0"/>
          <c:showBubbleSize val="0"/>
        </c:dLbls>
        <c:gapWidth val="355"/>
        <c:overlap val="-70"/>
        <c:axId val="1945594703"/>
        <c:axId val="1945595663"/>
      </c:barChart>
      <c:catAx>
        <c:axId val="194559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95663"/>
        <c:crosses val="autoZero"/>
        <c:auto val="1"/>
        <c:lblAlgn val="ctr"/>
        <c:lblOffset val="100"/>
        <c:noMultiLvlLbl val="0"/>
      </c:catAx>
      <c:valAx>
        <c:axId val="194559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947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project-2,Swiggy (1).xlsx]pivot_table!PivotTable25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pivot_table!$K$33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pivot_table!$J$34:$J$71</c:f>
              <c:strCache>
                <c:ptCount val="38"/>
                <c:pt idx="0">
                  <c:v>12" Badmash Pizza</c:v>
                </c:pt>
                <c:pt idx="1">
                  <c:v>Aloo Cheese Paratha</c:v>
                </c:pt>
                <c:pt idx="2">
                  <c:v>Americano Pasta Non-veg</c:v>
                </c:pt>
                <c:pt idx="3">
                  <c:v>Belgian Chocolate Milk Shake</c:v>
                </c:pt>
                <c:pt idx="4">
                  <c:v>Belgian Chocolate Thick Shake</c:v>
                </c:pt>
                <c:pt idx="5">
                  <c:v>Boneless Chicken Manchurian</c:v>
                </c:pt>
                <c:pt idx="6">
                  <c:v>Cheese Ramyun</c:v>
                </c:pt>
                <c:pt idx="7">
                  <c:v>Chicken Darjeeling Steam Momo</c:v>
                </c:pt>
                <c:pt idx="8">
                  <c:v>Chicken Varattiyathu</c:v>
                </c:pt>
                <c:pt idx="9">
                  <c:v>Chocolate And Love Smoothie Bowl</c:v>
                </c:pt>
                <c:pt idx="10">
                  <c:v>Dark Chocolate Cake [350 Grams, Serves 3]</c:v>
                </c:pt>
                <c:pt idx="11">
                  <c:v>Dosa (2 Pcs) Chicken Curry</c:v>
                </c:pt>
                <c:pt idx="12">
                  <c:v>Firecracker Wings</c:v>
                </c:pt>
                <c:pt idx="13">
                  <c:v>Garlic Mayo</c:v>
                </c:pt>
                <c:pt idx="14">
                  <c:v>Ghee Gulab Jamun (2 Pcs)</c:v>
                </c:pt>
                <c:pt idx="15">
                  <c:v>Grilled Spicy Lamb Burger</c:v>
                </c:pt>
                <c:pt idx="16">
                  <c:v>Himalayan Steamed Chicken Momos</c:v>
                </c:pt>
                <c:pt idx="17">
                  <c:v>Hugo (Fried Chicken &amp; Mozza Sandwich)</c:v>
                </c:pt>
                <c:pt idx="18">
                  <c:v>Idiyappam</c:v>
                </c:pt>
                <c:pt idx="19">
                  <c:v>Idli (2 Pcs)</c:v>
                </c:pt>
                <c:pt idx="20">
                  <c:v>Istah's Chicken Shawarma in Rumali</c:v>
                </c:pt>
                <c:pt idx="21">
                  <c:v>Meat Curry</c:v>
                </c:pt>
                <c:pt idx="22">
                  <c:v>Non Veg Club S/w</c:v>
                </c:pt>
                <c:pt idx="23">
                  <c:v>Nutella Cheese Cake</c:v>
                </c:pt>
                <c:pt idx="24">
                  <c:v>Open Butter Masala Dosa </c:v>
                </c:pt>
                <c:pt idx="25">
                  <c:v>Panoor Special Chicken Leg Fry</c:v>
                </c:pt>
                <c:pt idx="26">
                  <c:v>Paris Delice (Buff)</c:v>
                </c:pt>
                <c:pt idx="27">
                  <c:v>Peanut Butter &amp; Snicker Thickshake</c:v>
                </c:pt>
                <c:pt idx="28">
                  <c:v>Roasted Garlic Chicken Soup</c:v>
                </c:pt>
                <c:pt idx="29">
                  <c:v>Single Lamb Cheese Burger</c:v>
                </c:pt>
                <c:pt idx="30">
                  <c:v>Spaghetti Carbonara Chicken</c:v>
                </c:pt>
                <c:pt idx="31">
                  <c:v>Spicy Chick'n Cheese</c:v>
                </c:pt>
                <c:pt idx="32">
                  <c:v>Sugarcane With Ginger</c:v>
                </c:pt>
                <c:pt idx="33">
                  <c:v>Tandoori Chicken Tikka Cheese Pull Sandwich</c:v>
                </c:pt>
                <c:pt idx="34">
                  <c:v>Tender Coconut Pudding</c:v>
                </c:pt>
                <c:pt idx="35">
                  <c:v>Trapper Creek</c:v>
                </c:pt>
                <c:pt idx="36">
                  <c:v>Trapper Creek (Buff)</c:v>
                </c:pt>
                <c:pt idx="37">
                  <c:v>Veg. Ramyun</c:v>
                </c:pt>
              </c:strCache>
            </c:strRef>
          </c:cat>
          <c:val>
            <c:numRef>
              <c:f>pivot_table!$K$34:$K$71</c:f>
              <c:numCache>
                <c:formatCode>0</c:formatCode>
                <c:ptCount val="38"/>
                <c:pt idx="0">
                  <c:v>1369</c:v>
                </c:pt>
                <c:pt idx="1">
                  <c:v>553</c:v>
                </c:pt>
                <c:pt idx="2">
                  <c:v>171</c:v>
                </c:pt>
                <c:pt idx="3">
                  <c:v>369</c:v>
                </c:pt>
                <c:pt idx="4">
                  <c:v>401</c:v>
                </c:pt>
                <c:pt idx="5">
                  <c:v>530</c:v>
                </c:pt>
                <c:pt idx="6">
                  <c:v>333</c:v>
                </c:pt>
                <c:pt idx="7">
                  <c:v>221</c:v>
                </c:pt>
                <c:pt idx="8">
                  <c:v>573</c:v>
                </c:pt>
                <c:pt idx="9">
                  <c:v>399</c:v>
                </c:pt>
                <c:pt idx="10">
                  <c:v>1136</c:v>
                </c:pt>
                <c:pt idx="11">
                  <c:v>381</c:v>
                </c:pt>
                <c:pt idx="12">
                  <c:v>1905</c:v>
                </c:pt>
                <c:pt idx="13">
                  <c:v>221</c:v>
                </c:pt>
                <c:pt idx="14">
                  <c:v>300</c:v>
                </c:pt>
                <c:pt idx="15">
                  <c:v>298</c:v>
                </c:pt>
                <c:pt idx="16">
                  <c:v>167</c:v>
                </c:pt>
                <c:pt idx="17">
                  <c:v>287</c:v>
                </c:pt>
                <c:pt idx="18">
                  <c:v>380</c:v>
                </c:pt>
                <c:pt idx="19">
                  <c:v>189</c:v>
                </c:pt>
                <c:pt idx="20">
                  <c:v>164</c:v>
                </c:pt>
                <c:pt idx="21">
                  <c:v>265</c:v>
                </c:pt>
                <c:pt idx="22">
                  <c:v>645</c:v>
                </c:pt>
                <c:pt idx="23">
                  <c:v>342</c:v>
                </c:pt>
                <c:pt idx="24">
                  <c:v>356</c:v>
                </c:pt>
                <c:pt idx="25">
                  <c:v>504</c:v>
                </c:pt>
                <c:pt idx="26">
                  <c:v>372</c:v>
                </c:pt>
                <c:pt idx="27">
                  <c:v>455</c:v>
                </c:pt>
                <c:pt idx="28">
                  <c:v>477</c:v>
                </c:pt>
                <c:pt idx="29">
                  <c:v>251</c:v>
                </c:pt>
                <c:pt idx="30">
                  <c:v>301</c:v>
                </c:pt>
                <c:pt idx="31">
                  <c:v>598</c:v>
                </c:pt>
                <c:pt idx="32">
                  <c:v>281</c:v>
                </c:pt>
                <c:pt idx="33">
                  <c:v>355</c:v>
                </c:pt>
                <c:pt idx="34">
                  <c:v>362</c:v>
                </c:pt>
                <c:pt idx="35">
                  <c:v>872</c:v>
                </c:pt>
                <c:pt idx="36">
                  <c:v>788</c:v>
                </c:pt>
                <c:pt idx="37">
                  <c:v>826</c:v>
                </c:pt>
              </c:numCache>
            </c:numRef>
          </c:val>
          <c:smooth val="0"/>
          <c:extLst>
            <c:ext xmlns:c16="http://schemas.microsoft.com/office/drawing/2014/chart" uri="{C3380CC4-5D6E-409C-BE32-E72D297353CC}">
              <c16:uniqueId val="{00000000-17AA-4437-8F2F-A9783331AD25}"/>
            </c:ext>
          </c:extLst>
        </c:ser>
        <c:dLbls>
          <c:showLegendKey val="0"/>
          <c:showVal val="0"/>
          <c:showCatName val="0"/>
          <c:showSerName val="0"/>
          <c:showPercent val="0"/>
          <c:showBubbleSize val="0"/>
        </c:dLbls>
        <c:dropLines>
          <c:spPr>
            <a:ln w="9525" cap="flat" cmpd="sng" algn="ctr">
              <a:solidFill>
                <a:schemeClr val="dk1">
                  <a:alpha val="65000"/>
                </a:schemeClr>
              </a:solidFill>
              <a:round/>
            </a:ln>
            <a:effectLst/>
          </c:spPr>
        </c:dropLines>
        <c:marker val="1"/>
        <c:smooth val="0"/>
        <c:axId val="1943612927"/>
        <c:axId val="1943613407"/>
      </c:lineChart>
      <c:catAx>
        <c:axId val="19436129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ln>
                  <a:noFill/>
                </a:ln>
                <a:solidFill>
                  <a:schemeClr val="dk1"/>
                </a:solidFill>
                <a:latin typeface="+mn-lt"/>
                <a:ea typeface="+mn-ea"/>
                <a:cs typeface="+mn-cs"/>
              </a:defRPr>
            </a:pPr>
            <a:endParaRPr lang="en-US"/>
          </a:p>
        </c:txPr>
        <c:crossAx val="1943613407"/>
        <c:crosses val="autoZero"/>
        <c:auto val="1"/>
        <c:lblAlgn val="ctr"/>
        <c:lblOffset val="100"/>
        <c:noMultiLvlLbl val="0"/>
      </c:catAx>
      <c:valAx>
        <c:axId val="19436134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194361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AA5143B-0BAA-49A1-8A16-C7D9F82B1B32}">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8.png"/><Relationship Id="rId18" Type="http://schemas.microsoft.com/office/2014/relationships/chartEx" Target="../charts/chartEx1.xml"/><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chart" Target="../charts/chart5.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370114</xdr:colOff>
      <xdr:row>0</xdr:row>
      <xdr:rowOff>163286</xdr:rowOff>
    </xdr:from>
    <xdr:to>
      <xdr:col>11</xdr:col>
      <xdr:colOff>248194</xdr:colOff>
      <xdr:row>5</xdr:row>
      <xdr:rowOff>60960</xdr:rowOff>
    </xdr:to>
    <xdr:sp macro="" textlink="">
      <xdr:nvSpPr>
        <xdr:cNvPr id="2" name="Rectangle: Rounded Corners 1">
          <a:extLst>
            <a:ext uri="{FF2B5EF4-FFF2-40B4-BE49-F238E27FC236}">
              <a16:creationId xmlns:a16="http://schemas.microsoft.com/office/drawing/2014/main" id="{E4B8F5E2-AB02-4F1F-B15F-F4E7B0F5D1F8}"/>
            </a:ext>
          </a:extLst>
        </xdr:cNvPr>
        <xdr:cNvSpPr/>
      </xdr:nvSpPr>
      <xdr:spPr>
        <a:xfrm>
          <a:off x="370114" y="163286"/>
          <a:ext cx="6583680" cy="822960"/>
        </a:xfrm>
        <a:prstGeom prst="roundRect">
          <a:avLst>
            <a:gd name="adj" fmla="val 23995"/>
          </a:avLst>
        </a:prstGeom>
        <a:solidFill>
          <a:schemeClr val="bg1"/>
        </a:solidFill>
        <a:ln>
          <a:noFill/>
        </a:ln>
        <a:effectLst>
          <a:glow>
            <a:schemeClr val="accent1">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402769</xdr:colOff>
      <xdr:row>6</xdr:row>
      <xdr:rowOff>130632</xdr:rowOff>
    </xdr:from>
    <xdr:to>
      <xdr:col>4</xdr:col>
      <xdr:colOff>87083</xdr:colOff>
      <xdr:row>11</xdr:row>
      <xdr:rowOff>119746</xdr:rowOff>
    </xdr:to>
    <xdr:grpSp>
      <xdr:nvGrpSpPr>
        <xdr:cNvPr id="9" name="Group 8">
          <a:extLst>
            <a:ext uri="{FF2B5EF4-FFF2-40B4-BE49-F238E27FC236}">
              <a16:creationId xmlns:a16="http://schemas.microsoft.com/office/drawing/2014/main" id="{68A07FD7-38BD-F39C-27D6-DD1528BB4860}"/>
            </a:ext>
          </a:extLst>
        </xdr:cNvPr>
        <xdr:cNvGrpSpPr/>
      </xdr:nvGrpSpPr>
      <xdr:grpSpPr>
        <a:xfrm>
          <a:off x="402769" y="1216482"/>
          <a:ext cx="2046514" cy="893989"/>
          <a:chOff x="500743" y="1240975"/>
          <a:chExt cx="2122714" cy="914400"/>
        </a:xfrm>
      </xdr:grpSpPr>
      <xdr:sp macro="" textlink="">
        <xdr:nvSpPr>
          <xdr:cNvPr id="3" name="Rectangle: Rounded Corners 2">
            <a:extLst>
              <a:ext uri="{FF2B5EF4-FFF2-40B4-BE49-F238E27FC236}">
                <a16:creationId xmlns:a16="http://schemas.microsoft.com/office/drawing/2014/main" id="{41839F34-D571-2279-2AF1-F0B1C0083DFF}"/>
              </a:ext>
            </a:extLst>
          </xdr:cNvPr>
          <xdr:cNvSpPr/>
        </xdr:nvSpPr>
        <xdr:spPr>
          <a:xfrm>
            <a:off x="500743" y="1240975"/>
            <a:ext cx="2122714" cy="914400"/>
          </a:xfrm>
          <a:prstGeom prst="roundRect">
            <a:avLst>
              <a:gd name="adj" fmla="val 19048"/>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Diamond 4">
            <a:extLst>
              <a:ext uri="{FF2B5EF4-FFF2-40B4-BE49-F238E27FC236}">
                <a16:creationId xmlns:a16="http://schemas.microsoft.com/office/drawing/2014/main" id="{F6757C8E-6C2D-A0F9-56A4-58F4BA738841}"/>
              </a:ext>
            </a:extLst>
          </xdr:cNvPr>
          <xdr:cNvSpPr/>
        </xdr:nvSpPr>
        <xdr:spPr>
          <a:xfrm>
            <a:off x="555169" y="1349829"/>
            <a:ext cx="718459" cy="631371"/>
          </a:xfrm>
          <a:prstGeom prst="diamond">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9F4F9ACE-1530-C7BE-8318-CBFB30B291E3}"/>
              </a:ext>
            </a:extLst>
          </xdr:cNvPr>
          <xdr:cNvSpPr txBox="1"/>
        </xdr:nvSpPr>
        <xdr:spPr>
          <a:xfrm>
            <a:off x="1175657" y="1273627"/>
            <a:ext cx="128451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a:t>
            </a:r>
            <a:r>
              <a:rPr lang="en-US" sz="1600" b="1">
                <a:solidFill>
                  <a:schemeClr val="tx1"/>
                </a:solidFill>
              </a:rPr>
              <a:t>SALES</a:t>
            </a:r>
          </a:p>
        </xdr:txBody>
      </xdr:sp>
      <xdr:sp macro="" textlink="pivot_table!A28">
        <xdr:nvSpPr>
          <xdr:cNvPr id="8" name="TextBox 7">
            <a:extLst>
              <a:ext uri="{FF2B5EF4-FFF2-40B4-BE49-F238E27FC236}">
                <a16:creationId xmlns:a16="http://schemas.microsoft.com/office/drawing/2014/main" id="{A1F5EDAD-A871-B539-6071-AAA306456D2D}"/>
              </a:ext>
            </a:extLst>
          </xdr:cNvPr>
          <xdr:cNvSpPr txBox="1"/>
        </xdr:nvSpPr>
        <xdr:spPr>
          <a:xfrm>
            <a:off x="1262741" y="1643741"/>
            <a:ext cx="1208314"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43E805-AEE8-43C6-BD84-EB4051C5CCA3}" type="TxLink">
              <a:rPr lang="en-US" sz="1800" b="0" i="0" u="none" strike="noStrike">
                <a:solidFill>
                  <a:srgbClr val="000000"/>
                </a:solidFill>
                <a:latin typeface="+mj-lt"/>
              </a:rPr>
              <a:pPr/>
              <a:t> </a:t>
            </a:fld>
            <a:endParaRPr lang="en-US" sz="1800">
              <a:latin typeface="+mj-lt"/>
            </a:endParaRPr>
          </a:p>
        </xdr:txBody>
      </xdr:sp>
    </xdr:grpSp>
    <xdr:clientData/>
  </xdr:twoCellAnchor>
  <xdr:twoCellAnchor>
    <xdr:from>
      <xdr:col>4</xdr:col>
      <xdr:colOff>185058</xdr:colOff>
      <xdr:row>6</xdr:row>
      <xdr:rowOff>130632</xdr:rowOff>
    </xdr:from>
    <xdr:to>
      <xdr:col>11</xdr:col>
      <xdr:colOff>446311</xdr:colOff>
      <xdr:row>11</xdr:row>
      <xdr:rowOff>119746</xdr:rowOff>
    </xdr:to>
    <xdr:grpSp>
      <xdr:nvGrpSpPr>
        <xdr:cNvPr id="25" name="Group 24">
          <a:extLst>
            <a:ext uri="{FF2B5EF4-FFF2-40B4-BE49-F238E27FC236}">
              <a16:creationId xmlns:a16="http://schemas.microsoft.com/office/drawing/2014/main" id="{1E8141CB-36A2-1957-CEE1-D79CCEC1F9D8}"/>
            </a:ext>
          </a:extLst>
        </xdr:cNvPr>
        <xdr:cNvGrpSpPr/>
      </xdr:nvGrpSpPr>
      <xdr:grpSpPr>
        <a:xfrm>
          <a:off x="2547258" y="1216482"/>
          <a:ext cx="4395103" cy="893989"/>
          <a:chOff x="-1709057" y="1240975"/>
          <a:chExt cx="4528453" cy="914400"/>
        </a:xfrm>
      </xdr:grpSpPr>
      <xdr:sp macro="" textlink="">
        <xdr:nvSpPr>
          <xdr:cNvPr id="26" name="Rectangle: Rounded Corners 25">
            <a:extLst>
              <a:ext uri="{FF2B5EF4-FFF2-40B4-BE49-F238E27FC236}">
                <a16:creationId xmlns:a16="http://schemas.microsoft.com/office/drawing/2014/main" id="{8AC6EF59-13AD-B87E-6C77-8E35A67D3A0E}"/>
              </a:ext>
            </a:extLst>
          </xdr:cNvPr>
          <xdr:cNvSpPr/>
        </xdr:nvSpPr>
        <xdr:spPr>
          <a:xfrm>
            <a:off x="500743" y="1240975"/>
            <a:ext cx="2122714" cy="914400"/>
          </a:xfrm>
          <a:prstGeom prst="roundRect">
            <a:avLst>
              <a:gd name="adj" fmla="val 19048"/>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Diamond 26">
            <a:extLst>
              <a:ext uri="{FF2B5EF4-FFF2-40B4-BE49-F238E27FC236}">
                <a16:creationId xmlns:a16="http://schemas.microsoft.com/office/drawing/2014/main" id="{F6846140-4A91-E622-C76F-BAD9703FD8F9}"/>
              </a:ext>
            </a:extLst>
          </xdr:cNvPr>
          <xdr:cNvSpPr/>
        </xdr:nvSpPr>
        <xdr:spPr>
          <a:xfrm>
            <a:off x="555169" y="1349829"/>
            <a:ext cx="718459" cy="631371"/>
          </a:xfrm>
          <a:prstGeom prst="diamond">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B21EC284-365E-0010-3631-79AF50C8A5DA}"/>
              </a:ext>
            </a:extLst>
          </xdr:cNvPr>
          <xdr:cNvSpPr txBox="1"/>
        </xdr:nvSpPr>
        <xdr:spPr>
          <a:xfrm>
            <a:off x="1328061" y="1273627"/>
            <a:ext cx="128451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AVG </a:t>
            </a:r>
            <a:r>
              <a:rPr lang="en-US" sz="1600" b="1">
                <a:solidFill>
                  <a:schemeClr val="tx1"/>
                </a:solidFill>
              </a:rPr>
              <a:t>SALES</a:t>
            </a:r>
          </a:p>
        </xdr:txBody>
      </xdr:sp>
      <xdr:sp macro="" textlink="pivot_table!A29">
        <xdr:nvSpPr>
          <xdr:cNvPr id="29" name="TextBox 28">
            <a:extLst>
              <a:ext uri="{FF2B5EF4-FFF2-40B4-BE49-F238E27FC236}">
                <a16:creationId xmlns:a16="http://schemas.microsoft.com/office/drawing/2014/main" id="{BC065FDB-CBF8-8C9C-27F8-34AA1DB3C145}"/>
              </a:ext>
            </a:extLst>
          </xdr:cNvPr>
          <xdr:cNvSpPr txBox="1"/>
        </xdr:nvSpPr>
        <xdr:spPr>
          <a:xfrm>
            <a:off x="1611082" y="1632855"/>
            <a:ext cx="1208314"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CE8950-E1D7-45CB-A3E2-52D6F85D6E92}" type="TxLink">
              <a:rPr lang="en-US" sz="1800" b="0" i="0" u="none" strike="noStrike">
                <a:solidFill>
                  <a:srgbClr val="000000"/>
                </a:solidFill>
                <a:latin typeface="Aptos Narrow"/>
              </a:rPr>
              <a:pPr/>
              <a:t> </a:t>
            </a:fld>
            <a:endParaRPr lang="en-US" sz="1800">
              <a:latin typeface="+mj-lt"/>
            </a:endParaRPr>
          </a:p>
        </xdr:txBody>
      </xdr:sp>
      <xdr:sp macro="" textlink="">
        <xdr:nvSpPr>
          <xdr:cNvPr id="40" name="Rectangle: Rounded Corners 39">
            <a:extLst>
              <a:ext uri="{FF2B5EF4-FFF2-40B4-BE49-F238E27FC236}">
                <a16:creationId xmlns:a16="http://schemas.microsoft.com/office/drawing/2014/main" id="{8F37A8CC-4F10-2929-59B8-FF9DAEA92E69}"/>
              </a:ext>
            </a:extLst>
          </xdr:cNvPr>
          <xdr:cNvSpPr/>
        </xdr:nvSpPr>
        <xdr:spPr>
          <a:xfrm>
            <a:off x="-1709057" y="1240975"/>
            <a:ext cx="2122714" cy="914400"/>
          </a:xfrm>
          <a:prstGeom prst="roundRect">
            <a:avLst>
              <a:gd name="adj" fmla="val 19048"/>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Diamond 40">
            <a:extLst>
              <a:ext uri="{FF2B5EF4-FFF2-40B4-BE49-F238E27FC236}">
                <a16:creationId xmlns:a16="http://schemas.microsoft.com/office/drawing/2014/main" id="{0A44B069-6FED-B8E8-153E-D7FA4BF3F729}"/>
              </a:ext>
            </a:extLst>
          </xdr:cNvPr>
          <xdr:cNvSpPr/>
        </xdr:nvSpPr>
        <xdr:spPr>
          <a:xfrm>
            <a:off x="-1643745" y="1349829"/>
            <a:ext cx="718459" cy="631371"/>
          </a:xfrm>
          <a:prstGeom prst="diamond">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0681B1B0-E09A-BFEA-ECA2-7FB3192A90B9}"/>
              </a:ext>
            </a:extLst>
          </xdr:cNvPr>
          <xdr:cNvSpPr txBox="1"/>
        </xdr:nvSpPr>
        <xdr:spPr>
          <a:xfrm>
            <a:off x="-881739" y="1273627"/>
            <a:ext cx="128451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dk1"/>
                </a:solidFill>
              </a:rPr>
              <a:t>LOCATION</a:t>
            </a:r>
            <a:endParaRPr lang="en-US" sz="1800" b="1">
              <a:solidFill>
                <a:schemeClr val="tx1"/>
              </a:solidFill>
            </a:endParaRPr>
          </a:p>
        </xdr:txBody>
      </xdr:sp>
      <xdr:sp macro="" textlink="swiggy_orders!Q2">
        <xdr:nvSpPr>
          <xdr:cNvPr id="43" name="TextBox 42">
            <a:extLst>
              <a:ext uri="{FF2B5EF4-FFF2-40B4-BE49-F238E27FC236}">
                <a16:creationId xmlns:a16="http://schemas.microsoft.com/office/drawing/2014/main" id="{AB9BAF2D-A80C-3764-F2ED-555612AD4244}"/>
              </a:ext>
            </a:extLst>
          </xdr:cNvPr>
          <xdr:cNvSpPr txBox="1"/>
        </xdr:nvSpPr>
        <xdr:spPr>
          <a:xfrm>
            <a:off x="-849093" y="1600197"/>
            <a:ext cx="1208314"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65CBD0-6B7B-4C17-A64D-513EACE5B0BA}" type="TxLink">
              <a:rPr lang="en-US" sz="2000" b="0" i="0" u="none" strike="noStrike">
                <a:solidFill>
                  <a:srgbClr val="0E2841"/>
                </a:solidFill>
                <a:latin typeface="Aptos Narrow"/>
              </a:rPr>
              <a:pPr/>
              <a:t> </a:t>
            </a:fld>
            <a:endParaRPr lang="en-US" sz="2000">
              <a:latin typeface="+mj-lt"/>
            </a:endParaRPr>
          </a:p>
        </xdr:txBody>
      </xdr:sp>
    </xdr:grpSp>
    <xdr:clientData/>
  </xdr:twoCellAnchor>
  <xdr:twoCellAnchor editAs="oneCell">
    <xdr:from>
      <xdr:col>0</xdr:col>
      <xdr:colOff>587827</xdr:colOff>
      <xdr:row>7</xdr:row>
      <xdr:rowOff>108855</xdr:rowOff>
    </xdr:from>
    <xdr:to>
      <xdr:col>1</xdr:col>
      <xdr:colOff>435427</xdr:colOff>
      <xdr:row>10</xdr:row>
      <xdr:rowOff>10884</xdr:rowOff>
    </xdr:to>
    <xdr:pic>
      <xdr:nvPicPr>
        <xdr:cNvPr id="31" name="Graphic 30" descr="Bank with solid fill">
          <a:extLst>
            <a:ext uri="{FF2B5EF4-FFF2-40B4-BE49-F238E27FC236}">
              <a16:creationId xmlns:a16="http://schemas.microsoft.com/office/drawing/2014/main" id="{CE4D0336-4A3E-5E33-1F92-A4DD9ADF9D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7827" y="1404255"/>
          <a:ext cx="457200" cy="457200"/>
        </a:xfrm>
        <a:prstGeom prst="rect">
          <a:avLst/>
        </a:prstGeom>
      </xdr:spPr>
    </xdr:pic>
    <xdr:clientData/>
  </xdr:twoCellAnchor>
  <xdr:twoCellAnchor editAs="oneCell">
    <xdr:from>
      <xdr:col>8</xdr:col>
      <xdr:colOff>182657</xdr:colOff>
      <xdr:row>7</xdr:row>
      <xdr:rowOff>182654</xdr:rowOff>
    </xdr:from>
    <xdr:to>
      <xdr:col>8</xdr:col>
      <xdr:colOff>548417</xdr:colOff>
      <xdr:row>9</xdr:row>
      <xdr:rowOff>178300</xdr:rowOff>
    </xdr:to>
    <xdr:pic>
      <xdr:nvPicPr>
        <xdr:cNvPr id="33" name="Graphic 32" descr="Money with solid fill">
          <a:extLst>
            <a:ext uri="{FF2B5EF4-FFF2-40B4-BE49-F238E27FC236}">
              <a16:creationId xmlns:a16="http://schemas.microsoft.com/office/drawing/2014/main" id="{0FD672A8-AB36-EE25-2ABB-B5AE5B31AF6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59457" y="1478054"/>
          <a:ext cx="365760" cy="365760"/>
        </a:xfrm>
        <a:prstGeom prst="rect">
          <a:avLst/>
        </a:prstGeom>
      </xdr:spPr>
    </xdr:pic>
    <xdr:clientData/>
  </xdr:twoCellAnchor>
  <xdr:twoCellAnchor>
    <xdr:from>
      <xdr:col>0</xdr:col>
      <xdr:colOff>522514</xdr:colOff>
      <xdr:row>1</xdr:row>
      <xdr:rowOff>1</xdr:rowOff>
    </xdr:from>
    <xdr:to>
      <xdr:col>11</xdr:col>
      <xdr:colOff>65314</xdr:colOff>
      <xdr:row>4</xdr:row>
      <xdr:rowOff>141515</xdr:rowOff>
    </xdr:to>
    <xdr:sp macro="" textlink="">
      <xdr:nvSpPr>
        <xdr:cNvPr id="34" name="TextBox 33">
          <a:extLst>
            <a:ext uri="{FF2B5EF4-FFF2-40B4-BE49-F238E27FC236}">
              <a16:creationId xmlns:a16="http://schemas.microsoft.com/office/drawing/2014/main" id="{FFC07FFC-8835-73E2-30FD-CF8BE9578DC5}"/>
            </a:ext>
          </a:extLst>
        </xdr:cNvPr>
        <xdr:cNvSpPr txBox="1"/>
      </xdr:nvSpPr>
      <xdr:spPr>
        <a:xfrm>
          <a:off x="522514" y="185058"/>
          <a:ext cx="6248400" cy="696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0"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SWIGGY </a:t>
          </a:r>
          <a:r>
            <a:rPr lang="en-US" sz="4400" b="0"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 DASHBOARD</a:t>
          </a:r>
          <a:endParaRPr lang="en-US" sz="4400" b="0"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clientData/>
  </xdr:twoCellAnchor>
  <xdr:twoCellAnchor>
    <xdr:from>
      <xdr:col>9</xdr:col>
      <xdr:colOff>468085</xdr:colOff>
      <xdr:row>0</xdr:row>
      <xdr:rowOff>174170</xdr:rowOff>
    </xdr:from>
    <xdr:to>
      <xdr:col>10</xdr:col>
      <xdr:colOff>590005</xdr:colOff>
      <xdr:row>4</xdr:row>
      <xdr:rowOff>165461</xdr:rowOff>
    </xdr:to>
    <xdr:sp macro="" textlink="">
      <xdr:nvSpPr>
        <xdr:cNvPr id="35" name="Oval 34">
          <a:extLst>
            <a:ext uri="{FF2B5EF4-FFF2-40B4-BE49-F238E27FC236}">
              <a16:creationId xmlns:a16="http://schemas.microsoft.com/office/drawing/2014/main" id="{8F48DE36-259E-F389-EB6E-7F5424AF5B18}"/>
            </a:ext>
          </a:extLst>
        </xdr:cNvPr>
        <xdr:cNvSpPr/>
      </xdr:nvSpPr>
      <xdr:spPr>
        <a:xfrm>
          <a:off x="5954485" y="174170"/>
          <a:ext cx="731520" cy="731520"/>
        </a:xfrm>
        <a:prstGeom prst="ellipse">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348346</xdr:colOff>
      <xdr:row>0</xdr:row>
      <xdr:rowOff>0</xdr:rowOff>
    </xdr:from>
    <xdr:to>
      <xdr:col>11</xdr:col>
      <xdr:colOff>226426</xdr:colOff>
      <xdr:row>5</xdr:row>
      <xdr:rowOff>171994</xdr:rowOff>
    </xdr:to>
    <xdr:pic>
      <xdr:nvPicPr>
        <xdr:cNvPr id="37" name="Picture 36">
          <a:extLst>
            <a:ext uri="{FF2B5EF4-FFF2-40B4-BE49-F238E27FC236}">
              <a16:creationId xmlns:a16="http://schemas.microsoft.com/office/drawing/2014/main" id="{302A1F2C-0014-1B29-241E-B0A34BD321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34746" y="0"/>
          <a:ext cx="1097280" cy="1097280"/>
        </a:xfrm>
        <a:prstGeom prst="rect">
          <a:avLst/>
        </a:prstGeom>
      </xdr:spPr>
    </xdr:pic>
    <xdr:clientData/>
  </xdr:twoCellAnchor>
  <xdr:twoCellAnchor editAs="oneCell">
    <xdr:from>
      <xdr:col>4</xdr:col>
      <xdr:colOff>326572</xdr:colOff>
      <xdr:row>7</xdr:row>
      <xdr:rowOff>87086</xdr:rowOff>
    </xdr:from>
    <xdr:to>
      <xdr:col>5</xdr:col>
      <xdr:colOff>265612</xdr:colOff>
      <xdr:row>10</xdr:row>
      <xdr:rowOff>80555</xdr:rowOff>
    </xdr:to>
    <xdr:pic>
      <xdr:nvPicPr>
        <xdr:cNvPr id="45" name="Graphic 44" descr="Marker with solid fill">
          <a:extLst>
            <a:ext uri="{FF2B5EF4-FFF2-40B4-BE49-F238E27FC236}">
              <a16:creationId xmlns:a16="http://schemas.microsoft.com/office/drawing/2014/main" id="{5DB37AA8-C42C-3CBF-4F0F-47DC070BEA6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64972" y="1382486"/>
          <a:ext cx="548640" cy="548640"/>
        </a:xfrm>
        <a:prstGeom prst="rect">
          <a:avLst/>
        </a:prstGeom>
      </xdr:spPr>
    </xdr:pic>
    <xdr:clientData/>
  </xdr:twoCellAnchor>
  <xdr:twoCellAnchor>
    <xdr:from>
      <xdr:col>11</xdr:col>
      <xdr:colOff>489857</xdr:colOff>
      <xdr:row>0</xdr:row>
      <xdr:rowOff>76195</xdr:rowOff>
    </xdr:from>
    <xdr:to>
      <xdr:col>21</xdr:col>
      <xdr:colOff>195943</xdr:colOff>
      <xdr:row>17</xdr:row>
      <xdr:rowOff>163280</xdr:rowOff>
    </xdr:to>
    <xdr:grpSp>
      <xdr:nvGrpSpPr>
        <xdr:cNvPr id="56" name="Group 55">
          <a:extLst>
            <a:ext uri="{FF2B5EF4-FFF2-40B4-BE49-F238E27FC236}">
              <a16:creationId xmlns:a16="http://schemas.microsoft.com/office/drawing/2014/main" id="{4BD1B9E7-B057-FCEF-E761-AB1BBF139D28}"/>
            </a:ext>
          </a:extLst>
        </xdr:cNvPr>
        <xdr:cNvGrpSpPr/>
      </xdr:nvGrpSpPr>
      <xdr:grpSpPr>
        <a:xfrm>
          <a:off x="6985907" y="76195"/>
          <a:ext cx="5611586" cy="3163660"/>
          <a:chOff x="7195457" y="337458"/>
          <a:chExt cx="5802086" cy="3233056"/>
        </a:xfrm>
      </xdr:grpSpPr>
      <xdr:sp macro="" textlink="">
        <xdr:nvSpPr>
          <xdr:cNvPr id="53" name="Rectangle: Rounded Corners 52">
            <a:extLst>
              <a:ext uri="{FF2B5EF4-FFF2-40B4-BE49-F238E27FC236}">
                <a16:creationId xmlns:a16="http://schemas.microsoft.com/office/drawing/2014/main" id="{9BDA51B0-B294-2F94-C481-CE98B987EE38}"/>
              </a:ext>
            </a:extLst>
          </xdr:cNvPr>
          <xdr:cNvSpPr/>
        </xdr:nvSpPr>
        <xdr:spPr>
          <a:xfrm>
            <a:off x="7195457" y="468091"/>
            <a:ext cx="3635829" cy="3102423"/>
          </a:xfrm>
          <a:prstGeom prst="roundRect">
            <a:avLst>
              <a:gd name="adj" fmla="val 8329"/>
            </a:avLst>
          </a:prstGeom>
          <a:solidFill>
            <a:schemeClr val="bg1"/>
          </a:solidFill>
          <a:ln>
            <a:noFill/>
          </a:ln>
          <a:effectLst>
            <a:glow>
              <a:schemeClr val="accent1">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1DC382A3-A340-D3E6-3624-E3E587ECE4CB}"/>
              </a:ext>
            </a:extLst>
          </xdr:cNvPr>
          <xdr:cNvSpPr txBox="1"/>
        </xdr:nvSpPr>
        <xdr:spPr>
          <a:xfrm>
            <a:off x="7238999" y="337458"/>
            <a:ext cx="5758544" cy="859970"/>
          </a:xfrm>
          <a:prstGeom prst="rect">
            <a:avLst/>
          </a:prstGeom>
          <a:no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1300" b="1" i="0" baseline="0">
              <a:solidFill>
                <a:schemeClr val="dk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300" b="1" i="0" baseline="0">
                <a:solidFill>
                  <a:schemeClr val="dk1"/>
                </a:solidFill>
                <a:effectLst/>
                <a:latin typeface="+mn-lt"/>
                <a:ea typeface="+mn-ea"/>
                <a:cs typeface="+mn-cs"/>
              </a:rPr>
              <a:t>Proportion of total orders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300" b="1" i="0" baseline="0">
                <a:solidFill>
                  <a:schemeClr val="dk1"/>
                </a:solidFill>
                <a:effectLst/>
                <a:latin typeface="+mn-lt"/>
                <a:ea typeface="+mn-ea"/>
                <a:cs typeface="+mn-cs"/>
              </a:rPr>
              <a:t> utilized a coupon</a:t>
            </a:r>
            <a:endParaRPr lang="en-US" sz="1300" b="1">
              <a:effectLst/>
            </a:endParaRPr>
          </a:p>
          <a:p>
            <a:endParaRPr lang="en-US" sz="4400" b="0"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graphicFrame macro="">
        <xdr:nvGraphicFramePr>
          <xdr:cNvPr id="55" name="Chart 54">
            <a:extLst>
              <a:ext uri="{FF2B5EF4-FFF2-40B4-BE49-F238E27FC236}">
                <a16:creationId xmlns:a16="http://schemas.microsoft.com/office/drawing/2014/main" id="{0E0AA8AE-6076-4998-9132-69E68E5CAAC4}"/>
              </a:ext>
            </a:extLst>
          </xdr:cNvPr>
          <xdr:cNvGraphicFramePr>
            <a:graphicFrameLocks/>
          </xdr:cNvGraphicFramePr>
        </xdr:nvGraphicFramePr>
        <xdr:xfrm>
          <a:off x="7293429" y="1034142"/>
          <a:ext cx="3363686" cy="253637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18</xdr:col>
      <xdr:colOff>160312</xdr:colOff>
      <xdr:row>0</xdr:row>
      <xdr:rowOff>183402</xdr:rowOff>
    </xdr:from>
    <xdr:to>
      <xdr:col>27</xdr:col>
      <xdr:colOff>475998</xdr:colOff>
      <xdr:row>17</xdr:row>
      <xdr:rowOff>183406</xdr:rowOff>
    </xdr:to>
    <xdr:grpSp>
      <xdr:nvGrpSpPr>
        <xdr:cNvPr id="58" name="Group 57">
          <a:extLst>
            <a:ext uri="{FF2B5EF4-FFF2-40B4-BE49-F238E27FC236}">
              <a16:creationId xmlns:a16="http://schemas.microsoft.com/office/drawing/2014/main" id="{B3228B09-6809-2110-0209-1F55187CE0DF}"/>
            </a:ext>
          </a:extLst>
        </xdr:cNvPr>
        <xdr:cNvGrpSpPr/>
      </xdr:nvGrpSpPr>
      <xdr:grpSpPr>
        <a:xfrm>
          <a:off x="10790212" y="183402"/>
          <a:ext cx="5630636" cy="3076579"/>
          <a:chOff x="7195457" y="533401"/>
          <a:chExt cx="5802086" cy="3145976"/>
        </a:xfrm>
      </xdr:grpSpPr>
      <xdr:sp macro="" textlink="">
        <xdr:nvSpPr>
          <xdr:cNvPr id="59" name="Rectangle: Rounded Corners 58">
            <a:extLst>
              <a:ext uri="{FF2B5EF4-FFF2-40B4-BE49-F238E27FC236}">
                <a16:creationId xmlns:a16="http://schemas.microsoft.com/office/drawing/2014/main" id="{B0C1E42E-69E5-2C4F-6863-2E622493EBEE}"/>
              </a:ext>
            </a:extLst>
          </xdr:cNvPr>
          <xdr:cNvSpPr/>
        </xdr:nvSpPr>
        <xdr:spPr>
          <a:xfrm>
            <a:off x="7195457" y="566063"/>
            <a:ext cx="3635829" cy="3113314"/>
          </a:xfrm>
          <a:prstGeom prst="roundRect">
            <a:avLst>
              <a:gd name="adj" fmla="val 8329"/>
            </a:avLst>
          </a:prstGeom>
          <a:solidFill>
            <a:schemeClr val="bg1"/>
          </a:solidFill>
          <a:ln>
            <a:noFill/>
          </a:ln>
          <a:effectLst>
            <a:glow>
              <a:schemeClr val="accent1">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C94670E6-B595-F46E-8594-76C75881DCB4}"/>
              </a:ext>
            </a:extLst>
          </xdr:cNvPr>
          <xdr:cNvSpPr txBox="1"/>
        </xdr:nvSpPr>
        <xdr:spPr>
          <a:xfrm>
            <a:off x="7238999" y="533401"/>
            <a:ext cx="5758544" cy="859970"/>
          </a:xfrm>
          <a:prstGeom prst="rect">
            <a:avLst/>
          </a:prstGeom>
          <a:no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200" b="1" baseline="0">
              <a:effectLst/>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300" b="1" baseline="0">
                <a:effectLst/>
              </a:rPr>
              <a:t>Order </a:t>
            </a:r>
            <a:r>
              <a:rPr lang="en-US" sz="1300" b="1">
                <a:effectLst/>
              </a:rPr>
              <a:t>deliveries completed under rainy conditions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300" b="1">
                <a:effectLst/>
              </a:rPr>
              <a:t>(%)</a:t>
            </a:r>
          </a:p>
          <a:p>
            <a:endParaRPr lang="en-US" sz="4400" b="0"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grpSp>
    <xdr:clientData/>
  </xdr:twoCellAnchor>
  <xdr:twoCellAnchor>
    <xdr:from>
      <xdr:col>18</xdr:col>
      <xdr:colOff>21768</xdr:colOff>
      <xdr:row>1</xdr:row>
      <xdr:rowOff>21765</xdr:rowOff>
    </xdr:from>
    <xdr:to>
      <xdr:col>24</xdr:col>
      <xdr:colOff>76197</xdr:colOff>
      <xdr:row>16</xdr:row>
      <xdr:rowOff>152400</xdr:rowOff>
    </xdr:to>
    <xdr:graphicFrame macro="">
      <xdr:nvGraphicFramePr>
        <xdr:cNvPr id="64" name="Chart 63">
          <a:extLst>
            <a:ext uri="{FF2B5EF4-FFF2-40B4-BE49-F238E27FC236}">
              <a16:creationId xmlns:a16="http://schemas.microsoft.com/office/drawing/2014/main" id="{5C92F377-56D9-4003-8BA8-295EE56AD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322854</xdr:colOff>
      <xdr:row>0</xdr:row>
      <xdr:rowOff>100274</xdr:rowOff>
    </xdr:from>
    <xdr:to>
      <xdr:col>34</xdr:col>
      <xdr:colOff>472440</xdr:colOff>
      <xdr:row>35</xdr:row>
      <xdr:rowOff>127193</xdr:rowOff>
    </xdr:to>
    <xdr:grpSp>
      <xdr:nvGrpSpPr>
        <xdr:cNvPr id="72" name="Group 71">
          <a:extLst>
            <a:ext uri="{FF2B5EF4-FFF2-40B4-BE49-F238E27FC236}">
              <a16:creationId xmlns:a16="http://schemas.microsoft.com/office/drawing/2014/main" id="{0E86AB8A-9305-D613-351B-92028FF8B536}"/>
            </a:ext>
          </a:extLst>
        </xdr:cNvPr>
        <xdr:cNvGrpSpPr/>
      </xdr:nvGrpSpPr>
      <xdr:grpSpPr>
        <a:xfrm>
          <a:off x="14496054" y="100274"/>
          <a:ext cx="6055086" cy="6361044"/>
          <a:chOff x="7238999" y="2453889"/>
          <a:chExt cx="6244211" cy="6500155"/>
        </a:xfrm>
      </xdr:grpSpPr>
      <xdr:sp macro="" textlink="">
        <xdr:nvSpPr>
          <xdr:cNvPr id="73" name="Rectangle: Rounded Corners 72">
            <a:extLst>
              <a:ext uri="{FF2B5EF4-FFF2-40B4-BE49-F238E27FC236}">
                <a16:creationId xmlns:a16="http://schemas.microsoft.com/office/drawing/2014/main" id="{5BD839B4-7CB0-B7AD-5011-5FE5ECB7E6AC}"/>
              </a:ext>
            </a:extLst>
          </xdr:cNvPr>
          <xdr:cNvSpPr/>
        </xdr:nvSpPr>
        <xdr:spPr>
          <a:xfrm>
            <a:off x="7286875" y="2584512"/>
            <a:ext cx="6196335" cy="3102424"/>
          </a:xfrm>
          <a:prstGeom prst="roundRect">
            <a:avLst>
              <a:gd name="adj" fmla="val 8329"/>
            </a:avLst>
          </a:prstGeom>
          <a:solidFill>
            <a:schemeClr val="bg1"/>
          </a:solidFill>
          <a:ln>
            <a:noFill/>
          </a:ln>
          <a:effectLst>
            <a:glow>
              <a:schemeClr val="accent1">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TextBox 73">
            <a:extLst>
              <a:ext uri="{FF2B5EF4-FFF2-40B4-BE49-F238E27FC236}">
                <a16:creationId xmlns:a16="http://schemas.microsoft.com/office/drawing/2014/main" id="{97640987-570C-F840-4D3B-9E2E506D6CEC}"/>
              </a:ext>
            </a:extLst>
          </xdr:cNvPr>
          <xdr:cNvSpPr txBox="1"/>
        </xdr:nvSpPr>
        <xdr:spPr>
          <a:xfrm>
            <a:off x="7238999" y="2453889"/>
            <a:ext cx="5758544" cy="859970"/>
          </a:xfrm>
          <a:prstGeom prst="rect">
            <a:avLst/>
          </a:prstGeom>
          <a:no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1300" b="1" i="0" baseline="0">
              <a:solidFill>
                <a:schemeClr val="dk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300" b="1" i="0" baseline="0">
                <a:solidFill>
                  <a:schemeClr val="dk1"/>
                </a:solidFill>
                <a:effectLst/>
                <a:latin typeface="+mn-lt"/>
                <a:ea typeface="+mn-ea"/>
                <a:cs typeface="+mn-cs"/>
              </a:rPr>
              <a:t>Most Used Payment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300" b="1" i="0" baseline="0">
                <a:solidFill>
                  <a:schemeClr val="dk1"/>
                </a:solidFill>
                <a:effectLst/>
                <a:latin typeface="+mn-lt"/>
                <a:ea typeface="+mn-ea"/>
                <a:cs typeface="+mn-cs"/>
              </a:rPr>
              <a:t> Method</a:t>
            </a:r>
            <a:endParaRPr lang="en-US" sz="1300" b="1">
              <a:effectLst/>
            </a:endParaRPr>
          </a:p>
          <a:p>
            <a:endParaRPr lang="en-US" sz="4400" b="0"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sp macro="" textlink="">
        <xdr:nvSpPr>
          <xdr:cNvPr id="107" name="Rectangle: Rounded Corners 106">
            <a:extLst>
              <a:ext uri="{FF2B5EF4-FFF2-40B4-BE49-F238E27FC236}">
                <a16:creationId xmlns:a16="http://schemas.microsoft.com/office/drawing/2014/main" id="{9ECA18DB-643A-0EEB-B9BC-CA2A074983B0}"/>
              </a:ext>
            </a:extLst>
          </xdr:cNvPr>
          <xdr:cNvSpPr/>
        </xdr:nvSpPr>
        <xdr:spPr>
          <a:xfrm>
            <a:off x="7305364" y="5851620"/>
            <a:ext cx="6086426" cy="3102424"/>
          </a:xfrm>
          <a:prstGeom prst="roundRect">
            <a:avLst>
              <a:gd name="adj" fmla="val 8329"/>
            </a:avLst>
          </a:prstGeom>
          <a:solidFill>
            <a:schemeClr val="bg1"/>
          </a:solidFill>
          <a:ln>
            <a:noFill/>
          </a:ln>
          <a:effectLst>
            <a:glow>
              <a:schemeClr val="accent1">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265266</xdr:colOff>
      <xdr:row>18</xdr:row>
      <xdr:rowOff>31132</xdr:rowOff>
    </xdr:from>
    <xdr:to>
      <xdr:col>34</xdr:col>
      <xdr:colOff>533401</xdr:colOff>
      <xdr:row>68</xdr:row>
      <xdr:rowOff>94674</xdr:rowOff>
    </xdr:to>
    <xdr:grpSp>
      <xdr:nvGrpSpPr>
        <xdr:cNvPr id="83" name="Group 82">
          <a:extLst>
            <a:ext uri="{FF2B5EF4-FFF2-40B4-BE49-F238E27FC236}">
              <a16:creationId xmlns:a16="http://schemas.microsoft.com/office/drawing/2014/main" id="{41D00599-78D5-135A-2A6A-1B99A9AB2FEA}"/>
            </a:ext>
          </a:extLst>
        </xdr:cNvPr>
        <xdr:cNvGrpSpPr/>
      </xdr:nvGrpSpPr>
      <xdr:grpSpPr>
        <a:xfrm>
          <a:off x="265266" y="3288682"/>
          <a:ext cx="20346835" cy="9112292"/>
          <a:chOff x="-3735553" y="337458"/>
          <a:chExt cx="21078091" cy="9307374"/>
        </a:xfrm>
      </xdr:grpSpPr>
      <xdr:sp macro="" textlink="">
        <xdr:nvSpPr>
          <xdr:cNvPr id="84" name="Rectangle: Rounded Corners 83">
            <a:extLst>
              <a:ext uri="{FF2B5EF4-FFF2-40B4-BE49-F238E27FC236}">
                <a16:creationId xmlns:a16="http://schemas.microsoft.com/office/drawing/2014/main" id="{44C05622-A88E-93D1-A497-837D4F8993B0}"/>
              </a:ext>
            </a:extLst>
          </xdr:cNvPr>
          <xdr:cNvSpPr/>
        </xdr:nvSpPr>
        <xdr:spPr>
          <a:xfrm>
            <a:off x="-3735553" y="468091"/>
            <a:ext cx="6865781" cy="3102423"/>
          </a:xfrm>
          <a:prstGeom prst="roundRect">
            <a:avLst>
              <a:gd name="adj" fmla="val 8329"/>
            </a:avLst>
          </a:prstGeom>
          <a:solidFill>
            <a:schemeClr val="bg1"/>
          </a:solidFill>
          <a:ln>
            <a:noFill/>
          </a:ln>
          <a:effectLst>
            <a:glow>
              <a:schemeClr val="accent1">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TextBox 84">
            <a:extLst>
              <a:ext uri="{FF2B5EF4-FFF2-40B4-BE49-F238E27FC236}">
                <a16:creationId xmlns:a16="http://schemas.microsoft.com/office/drawing/2014/main" id="{A001CD9D-ACFA-9D0C-AEAB-773B646F5CD0}"/>
              </a:ext>
            </a:extLst>
          </xdr:cNvPr>
          <xdr:cNvSpPr txBox="1"/>
        </xdr:nvSpPr>
        <xdr:spPr>
          <a:xfrm>
            <a:off x="-3582068" y="337458"/>
            <a:ext cx="5758544" cy="859970"/>
          </a:xfrm>
          <a:prstGeom prst="rect">
            <a:avLst/>
          </a:prstGeom>
          <a:no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1300" b="1" i="0" baseline="0">
              <a:solidFill>
                <a:schemeClr val="dk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dk1"/>
                </a:solidFill>
                <a:effectLst/>
                <a:latin typeface="+mn-lt"/>
                <a:ea typeface="+mn-ea"/>
                <a:cs typeface="+mn-cs"/>
              </a:rPr>
              <a:t>Monthly wise Revenue Distribution</a:t>
            </a:r>
            <a:endParaRPr lang="en-US" sz="1600" b="1">
              <a:effectLst/>
            </a:endParaRPr>
          </a:p>
          <a:p>
            <a:endParaRPr lang="en-US" sz="4400" b="0"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sp macro="" textlink="">
        <xdr:nvSpPr>
          <xdr:cNvPr id="91" name="Rectangle: Rounded Corners 90">
            <a:extLst>
              <a:ext uri="{FF2B5EF4-FFF2-40B4-BE49-F238E27FC236}">
                <a16:creationId xmlns:a16="http://schemas.microsoft.com/office/drawing/2014/main" id="{47436B40-0083-FD44-4FFA-B167BFA582DF}"/>
              </a:ext>
            </a:extLst>
          </xdr:cNvPr>
          <xdr:cNvSpPr/>
        </xdr:nvSpPr>
        <xdr:spPr>
          <a:xfrm>
            <a:off x="3300080" y="468091"/>
            <a:ext cx="7553774" cy="3102423"/>
          </a:xfrm>
          <a:prstGeom prst="roundRect">
            <a:avLst>
              <a:gd name="adj" fmla="val 8329"/>
            </a:avLst>
          </a:prstGeom>
          <a:solidFill>
            <a:schemeClr val="bg1"/>
          </a:solidFill>
          <a:ln>
            <a:noFill/>
          </a:ln>
          <a:effectLst>
            <a:glow>
              <a:schemeClr val="accent1">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4" name="Rectangle: Rounded Corners 153">
            <a:extLst>
              <a:ext uri="{FF2B5EF4-FFF2-40B4-BE49-F238E27FC236}">
                <a16:creationId xmlns:a16="http://schemas.microsoft.com/office/drawing/2014/main" id="{C36A4997-A99A-1F81-06D7-CFB66CB1DD9D}"/>
              </a:ext>
            </a:extLst>
          </xdr:cNvPr>
          <xdr:cNvSpPr/>
        </xdr:nvSpPr>
        <xdr:spPr>
          <a:xfrm>
            <a:off x="6589722" y="3867999"/>
            <a:ext cx="10752816" cy="5776833"/>
          </a:xfrm>
          <a:prstGeom prst="roundRect">
            <a:avLst>
              <a:gd name="adj" fmla="val 8329"/>
            </a:avLst>
          </a:prstGeom>
          <a:solidFill>
            <a:schemeClr val="bg1"/>
          </a:solidFill>
          <a:ln>
            <a:noFill/>
          </a:ln>
          <a:effectLst>
            <a:glow>
              <a:schemeClr val="accent1">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309383</xdr:colOff>
      <xdr:row>21</xdr:row>
      <xdr:rowOff>6009</xdr:rowOff>
    </xdr:from>
    <xdr:to>
      <xdr:col>11</xdr:col>
      <xdr:colOff>150395</xdr:colOff>
      <xdr:row>36</xdr:row>
      <xdr:rowOff>42103</xdr:rowOff>
    </xdr:to>
    <xdr:graphicFrame macro="">
      <xdr:nvGraphicFramePr>
        <xdr:cNvPr id="87" name="Chart 86">
          <a:extLst>
            <a:ext uri="{FF2B5EF4-FFF2-40B4-BE49-F238E27FC236}">
              <a16:creationId xmlns:a16="http://schemas.microsoft.com/office/drawing/2014/main" id="{E07494C3-0965-4901-AFDB-B8A7ADA3F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396240</xdr:colOff>
      <xdr:row>13</xdr:row>
      <xdr:rowOff>30480</xdr:rowOff>
    </xdr:from>
    <xdr:to>
      <xdr:col>9</xdr:col>
      <xdr:colOff>243840</xdr:colOff>
      <xdr:row>17</xdr:row>
      <xdr:rowOff>76200</xdr:rowOff>
    </xdr:to>
    <mc:AlternateContent xmlns:mc="http://schemas.openxmlformats.org/markup-compatibility/2006" xmlns:a14="http://schemas.microsoft.com/office/drawing/2010/main">
      <mc:Choice Requires="a14">
        <xdr:graphicFrame macro="">
          <xdr:nvGraphicFramePr>
            <xdr:cNvPr id="88" name="Years (Month Start)">
              <a:extLst>
                <a:ext uri="{FF2B5EF4-FFF2-40B4-BE49-F238E27FC236}">
                  <a16:creationId xmlns:a16="http://schemas.microsoft.com/office/drawing/2014/main" id="{4F24524F-2160-4AB8-B54A-B240FD8C1104}"/>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s (Month Start)"/>
            </a:graphicData>
          </a:graphic>
        </xdr:graphicFrame>
      </mc:Choice>
      <mc:Fallback xmlns="">
        <xdr:sp macro="" textlink="">
          <xdr:nvSpPr>
            <xdr:cNvPr id="0" name=""/>
            <xdr:cNvSpPr>
              <a:spLocks noTextEdit="1"/>
            </xdr:cNvSpPr>
          </xdr:nvSpPr>
          <xdr:spPr>
            <a:xfrm>
              <a:off x="396240" y="2506980"/>
              <a:ext cx="5334000" cy="807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210552</xdr:colOff>
      <xdr:row>23</xdr:row>
      <xdr:rowOff>50137</xdr:rowOff>
    </xdr:from>
    <xdr:to>
      <xdr:col>23</xdr:col>
      <xdr:colOff>485674</xdr:colOff>
      <xdr:row>34</xdr:row>
      <xdr:rowOff>110295</xdr:rowOff>
    </xdr:to>
    <xdr:graphicFrame macro="">
      <xdr:nvGraphicFramePr>
        <xdr:cNvPr id="92" name="Chart 91">
          <a:extLst>
            <a:ext uri="{FF2B5EF4-FFF2-40B4-BE49-F238E27FC236}">
              <a16:creationId xmlns:a16="http://schemas.microsoft.com/office/drawing/2014/main" id="{56C0CE4D-EE76-40F7-BA29-23DAFAD56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250658</xdr:colOff>
      <xdr:row>20</xdr:row>
      <xdr:rowOff>80210</xdr:rowOff>
    </xdr:from>
    <xdr:to>
      <xdr:col>21</xdr:col>
      <xdr:colOff>160421</xdr:colOff>
      <xdr:row>22</xdr:row>
      <xdr:rowOff>80211</xdr:rowOff>
    </xdr:to>
    <xdr:sp macro="" textlink="">
      <xdr:nvSpPr>
        <xdr:cNvPr id="93" name="TextBox 92">
          <a:extLst>
            <a:ext uri="{FF2B5EF4-FFF2-40B4-BE49-F238E27FC236}">
              <a16:creationId xmlns:a16="http://schemas.microsoft.com/office/drawing/2014/main" id="{CC2F5BEE-5280-1600-D752-0FBFE8453D7D}"/>
            </a:ext>
          </a:extLst>
        </xdr:cNvPr>
        <xdr:cNvSpPr txBox="1"/>
      </xdr:nvSpPr>
      <xdr:spPr>
        <a:xfrm>
          <a:off x="7589921" y="3689684"/>
          <a:ext cx="5414211" cy="36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Area wise Revenue</a:t>
          </a:r>
        </a:p>
      </xdr:txBody>
    </xdr:sp>
    <xdr:clientData/>
  </xdr:twoCellAnchor>
  <xdr:twoCellAnchor>
    <xdr:from>
      <xdr:col>4</xdr:col>
      <xdr:colOff>165005</xdr:colOff>
      <xdr:row>6</xdr:row>
      <xdr:rowOff>160711</xdr:rowOff>
    </xdr:from>
    <xdr:to>
      <xdr:col>11</xdr:col>
      <xdr:colOff>426258</xdr:colOff>
      <xdr:row>11</xdr:row>
      <xdr:rowOff>149825</xdr:rowOff>
    </xdr:to>
    <xdr:grpSp>
      <xdr:nvGrpSpPr>
        <xdr:cNvPr id="95" name="Group 94">
          <a:extLst>
            <a:ext uri="{FF2B5EF4-FFF2-40B4-BE49-F238E27FC236}">
              <a16:creationId xmlns:a16="http://schemas.microsoft.com/office/drawing/2014/main" id="{5BABE448-4257-F4BE-6D5E-2183D81FA332}"/>
            </a:ext>
          </a:extLst>
        </xdr:cNvPr>
        <xdr:cNvGrpSpPr/>
      </xdr:nvGrpSpPr>
      <xdr:grpSpPr>
        <a:xfrm>
          <a:off x="2527205" y="1246561"/>
          <a:ext cx="4395103" cy="893989"/>
          <a:chOff x="-1709057" y="1240975"/>
          <a:chExt cx="4528453" cy="914400"/>
        </a:xfrm>
      </xdr:grpSpPr>
      <xdr:sp macro="" textlink="">
        <xdr:nvSpPr>
          <xdr:cNvPr id="96" name="Rectangle: Rounded Corners 95">
            <a:extLst>
              <a:ext uri="{FF2B5EF4-FFF2-40B4-BE49-F238E27FC236}">
                <a16:creationId xmlns:a16="http://schemas.microsoft.com/office/drawing/2014/main" id="{70B00E83-7983-2D88-D6D4-72000805834A}"/>
              </a:ext>
            </a:extLst>
          </xdr:cNvPr>
          <xdr:cNvSpPr/>
        </xdr:nvSpPr>
        <xdr:spPr>
          <a:xfrm>
            <a:off x="500743" y="1240975"/>
            <a:ext cx="2122714" cy="914400"/>
          </a:xfrm>
          <a:prstGeom prst="roundRect">
            <a:avLst>
              <a:gd name="adj" fmla="val 19048"/>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7" name="Diamond 96">
            <a:extLst>
              <a:ext uri="{FF2B5EF4-FFF2-40B4-BE49-F238E27FC236}">
                <a16:creationId xmlns:a16="http://schemas.microsoft.com/office/drawing/2014/main" id="{2FF22C14-2301-39F5-CB2D-81822A4735DC}"/>
              </a:ext>
            </a:extLst>
          </xdr:cNvPr>
          <xdr:cNvSpPr/>
        </xdr:nvSpPr>
        <xdr:spPr>
          <a:xfrm>
            <a:off x="555169" y="1349829"/>
            <a:ext cx="718459" cy="631371"/>
          </a:xfrm>
          <a:prstGeom prst="diamond">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8" name="TextBox 97">
            <a:extLst>
              <a:ext uri="{FF2B5EF4-FFF2-40B4-BE49-F238E27FC236}">
                <a16:creationId xmlns:a16="http://schemas.microsoft.com/office/drawing/2014/main" id="{499B9BBA-4041-5248-0D57-32212DB12B32}"/>
              </a:ext>
            </a:extLst>
          </xdr:cNvPr>
          <xdr:cNvSpPr txBox="1"/>
        </xdr:nvSpPr>
        <xdr:spPr>
          <a:xfrm>
            <a:off x="1328061" y="1273627"/>
            <a:ext cx="128451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AVG </a:t>
            </a:r>
            <a:r>
              <a:rPr lang="en-US" sz="1600" b="1">
                <a:solidFill>
                  <a:schemeClr val="tx1"/>
                </a:solidFill>
              </a:rPr>
              <a:t>SALES</a:t>
            </a:r>
          </a:p>
        </xdr:txBody>
      </xdr:sp>
      <xdr:sp macro="" textlink="pivot_table!A29">
        <xdr:nvSpPr>
          <xdr:cNvPr id="99" name="TextBox 98">
            <a:extLst>
              <a:ext uri="{FF2B5EF4-FFF2-40B4-BE49-F238E27FC236}">
                <a16:creationId xmlns:a16="http://schemas.microsoft.com/office/drawing/2014/main" id="{019DF812-C7B9-3C0B-D019-7FA54713C1D2}"/>
              </a:ext>
            </a:extLst>
          </xdr:cNvPr>
          <xdr:cNvSpPr txBox="1"/>
        </xdr:nvSpPr>
        <xdr:spPr>
          <a:xfrm>
            <a:off x="1611082" y="1632855"/>
            <a:ext cx="1208314"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CE8950-E1D7-45CB-A3E2-52D6F85D6E92}" type="TxLink">
              <a:rPr lang="en-US" sz="1800" b="0" i="0" u="none" strike="noStrike">
                <a:solidFill>
                  <a:srgbClr val="000000"/>
                </a:solidFill>
                <a:latin typeface="Aptos Narrow"/>
              </a:rPr>
              <a:pPr/>
              <a:t> </a:t>
            </a:fld>
            <a:endParaRPr lang="en-US" sz="1800">
              <a:latin typeface="+mj-lt"/>
            </a:endParaRPr>
          </a:p>
        </xdr:txBody>
      </xdr:sp>
      <xdr:sp macro="" textlink="">
        <xdr:nvSpPr>
          <xdr:cNvPr id="100" name="Rectangle: Rounded Corners 99">
            <a:extLst>
              <a:ext uri="{FF2B5EF4-FFF2-40B4-BE49-F238E27FC236}">
                <a16:creationId xmlns:a16="http://schemas.microsoft.com/office/drawing/2014/main" id="{FB356C63-45A5-218E-7D91-43E09C277732}"/>
              </a:ext>
            </a:extLst>
          </xdr:cNvPr>
          <xdr:cNvSpPr/>
        </xdr:nvSpPr>
        <xdr:spPr>
          <a:xfrm>
            <a:off x="-1709057" y="1240975"/>
            <a:ext cx="2122714" cy="914400"/>
          </a:xfrm>
          <a:prstGeom prst="roundRect">
            <a:avLst>
              <a:gd name="adj" fmla="val 19048"/>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1" name="Diamond 100">
            <a:extLst>
              <a:ext uri="{FF2B5EF4-FFF2-40B4-BE49-F238E27FC236}">
                <a16:creationId xmlns:a16="http://schemas.microsoft.com/office/drawing/2014/main" id="{C84165A0-50E8-294D-CBE5-207D3E7FC2DA}"/>
              </a:ext>
            </a:extLst>
          </xdr:cNvPr>
          <xdr:cNvSpPr/>
        </xdr:nvSpPr>
        <xdr:spPr>
          <a:xfrm>
            <a:off x="-1643745" y="1349829"/>
            <a:ext cx="718459" cy="631371"/>
          </a:xfrm>
          <a:prstGeom prst="diamond">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2" name="TextBox 101">
            <a:extLst>
              <a:ext uri="{FF2B5EF4-FFF2-40B4-BE49-F238E27FC236}">
                <a16:creationId xmlns:a16="http://schemas.microsoft.com/office/drawing/2014/main" id="{D7CCC42F-1365-7585-4A9C-A4A6F1307AC5}"/>
              </a:ext>
            </a:extLst>
          </xdr:cNvPr>
          <xdr:cNvSpPr txBox="1"/>
        </xdr:nvSpPr>
        <xdr:spPr>
          <a:xfrm>
            <a:off x="-881739" y="1273627"/>
            <a:ext cx="128451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dk1"/>
                </a:solidFill>
              </a:rPr>
              <a:t>LOCATION</a:t>
            </a:r>
            <a:endParaRPr lang="en-US" sz="1800" b="1">
              <a:solidFill>
                <a:schemeClr val="tx1"/>
              </a:solidFill>
            </a:endParaRPr>
          </a:p>
        </xdr:txBody>
      </xdr:sp>
      <xdr:sp macro="" textlink="swiggy_orders!Q2">
        <xdr:nvSpPr>
          <xdr:cNvPr id="103" name="TextBox 102">
            <a:extLst>
              <a:ext uri="{FF2B5EF4-FFF2-40B4-BE49-F238E27FC236}">
                <a16:creationId xmlns:a16="http://schemas.microsoft.com/office/drawing/2014/main" id="{1C2FDAD5-6ED8-11B1-79CB-DADCC2879057}"/>
              </a:ext>
            </a:extLst>
          </xdr:cNvPr>
          <xdr:cNvSpPr txBox="1"/>
        </xdr:nvSpPr>
        <xdr:spPr>
          <a:xfrm>
            <a:off x="-849093" y="1600197"/>
            <a:ext cx="1208314" cy="40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65CBD0-6B7B-4C17-A64D-513EACE5B0BA}" type="TxLink">
              <a:rPr lang="en-US" sz="2000" b="0" i="0" u="none" strike="noStrike">
                <a:solidFill>
                  <a:srgbClr val="0E2841"/>
                </a:solidFill>
                <a:latin typeface="Aptos Narrow"/>
              </a:rPr>
              <a:pPr/>
              <a:t> </a:t>
            </a:fld>
            <a:endParaRPr lang="en-US" sz="2000">
              <a:latin typeface="+mj-lt"/>
            </a:endParaRPr>
          </a:p>
        </xdr:txBody>
      </xdr:sp>
    </xdr:grpSp>
    <xdr:clientData/>
  </xdr:twoCellAnchor>
  <xdr:twoCellAnchor>
    <xdr:from>
      <xdr:col>24</xdr:col>
      <xdr:colOff>521369</xdr:colOff>
      <xdr:row>18</xdr:row>
      <xdr:rowOff>140369</xdr:rowOff>
    </xdr:from>
    <xdr:to>
      <xdr:col>29</xdr:col>
      <xdr:colOff>571500</xdr:colOff>
      <xdr:row>20</xdr:row>
      <xdr:rowOff>100263</xdr:rowOff>
    </xdr:to>
    <xdr:sp macro="" textlink="">
      <xdr:nvSpPr>
        <xdr:cNvPr id="108" name="TextBox 107">
          <a:extLst>
            <a:ext uri="{FF2B5EF4-FFF2-40B4-BE49-F238E27FC236}">
              <a16:creationId xmlns:a16="http://schemas.microsoft.com/office/drawing/2014/main" id="{EEDBBBB8-2BE0-972D-92DC-FDD82AB73F7A}"/>
            </a:ext>
          </a:extLst>
        </xdr:cNvPr>
        <xdr:cNvSpPr txBox="1"/>
      </xdr:nvSpPr>
      <xdr:spPr>
        <a:xfrm>
          <a:off x="15199895" y="3388895"/>
          <a:ext cx="3108158" cy="32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Delivery distance on On-time performance</a:t>
          </a:r>
        </a:p>
      </xdr:txBody>
    </xdr:sp>
    <xdr:clientData/>
  </xdr:twoCellAnchor>
  <xdr:twoCellAnchor>
    <xdr:from>
      <xdr:col>25</xdr:col>
      <xdr:colOff>20051</xdr:colOff>
      <xdr:row>20</xdr:row>
      <xdr:rowOff>160421</xdr:rowOff>
    </xdr:from>
    <xdr:to>
      <xdr:col>34</xdr:col>
      <xdr:colOff>200525</xdr:colOff>
      <xdr:row>34</xdr:row>
      <xdr:rowOff>120316</xdr:rowOff>
    </xdr:to>
    <xdr:graphicFrame macro="">
      <xdr:nvGraphicFramePr>
        <xdr:cNvPr id="109" name="Chart 108">
          <a:extLst>
            <a:ext uri="{FF2B5EF4-FFF2-40B4-BE49-F238E27FC236}">
              <a16:creationId xmlns:a16="http://schemas.microsoft.com/office/drawing/2014/main" id="{1F5CD682-52E5-4C4B-921A-66E324AA7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xdr:col>
      <xdr:colOff>380996</xdr:colOff>
      <xdr:row>7</xdr:row>
      <xdr:rowOff>140367</xdr:rowOff>
    </xdr:from>
    <xdr:to>
      <xdr:col>5</xdr:col>
      <xdr:colOff>226591</xdr:colOff>
      <xdr:row>10</xdr:row>
      <xdr:rowOff>56146</xdr:rowOff>
    </xdr:to>
    <xdr:pic>
      <xdr:nvPicPr>
        <xdr:cNvPr id="111" name="Graphic 110" descr="Globe with solid fill">
          <a:extLst>
            <a:ext uri="{FF2B5EF4-FFF2-40B4-BE49-F238E27FC236}">
              <a16:creationId xmlns:a16="http://schemas.microsoft.com/office/drawing/2014/main" id="{854511A9-0394-C982-CE30-FA8F632F3AE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827417" y="1403683"/>
          <a:ext cx="457200" cy="457200"/>
        </a:xfrm>
        <a:prstGeom prst="rect">
          <a:avLst/>
        </a:prstGeom>
      </xdr:spPr>
    </xdr:pic>
    <xdr:clientData/>
  </xdr:twoCellAnchor>
  <xdr:twoCellAnchor editAs="oneCell">
    <xdr:from>
      <xdr:col>8</xdr:col>
      <xdr:colOff>170449</xdr:colOff>
      <xdr:row>8</xdr:row>
      <xdr:rowOff>30082</xdr:rowOff>
    </xdr:from>
    <xdr:to>
      <xdr:col>8</xdr:col>
      <xdr:colOff>536209</xdr:colOff>
      <xdr:row>10</xdr:row>
      <xdr:rowOff>34894</xdr:rowOff>
    </xdr:to>
    <xdr:pic>
      <xdr:nvPicPr>
        <xdr:cNvPr id="113" name="Graphic 112" descr="Dollar with solid fill">
          <a:extLst>
            <a:ext uri="{FF2B5EF4-FFF2-40B4-BE49-F238E27FC236}">
              <a16:creationId xmlns:a16="http://schemas.microsoft.com/office/drawing/2014/main" id="{398E7210-8E4A-7CAD-4DEC-8A49695E2B1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063291" y="1473871"/>
          <a:ext cx="365760" cy="365760"/>
        </a:xfrm>
        <a:prstGeom prst="rect">
          <a:avLst/>
        </a:prstGeom>
      </xdr:spPr>
    </xdr:pic>
    <xdr:clientData/>
  </xdr:twoCellAnchor>
  <xdr:twoCellAnchor>
    <xdr:from>
      <xdr:col>24</xdr:col>
      <xdr:colOff>501316</xdr:colOff>
      <xdr:row>4</xdr:row>
      <xdr:rowOff>106680</xdr:rowOff>
    </xdr:from>
    <xdr:to>
      <xdr:col>33</xdr:col>
      <xdr:colOff>396240</xdr:colOff>
      <xdr:row>16</xdr:row>
      <xdr:rowOff>99541</xdr:rowOff>
    </xdr:to>
    <xdr:graphicFrame macro="">
      <xdr:nvGraphicFramePr>
        <xdr:cNvPr id="131" name="Chart 130">
          <a:extLst>
            <a:ext uri="{FF2B5EF4-FFF2-40B4-BE49-F238E27FC236}">
              <a16:creationId xmlns:a16="http://schemas.microsoft.com/office/drawing/2014/main" id="{036579EF-A914-4E6F-BB74-975A96D18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113208</xdr:colOff>
      <xdr:row>36</xdr:row>
      <xdr:rowOff>176897</xdr:rowOff>
    </xdr:from>
    <xdr:to>
      <xdr:col>16</xdr:col>
      <xdr:colOff>472440</xdr:colOff>
      <xdr:row>76</xdr:row>
      <xdr:rowOff>122854</xdr:rowOff>
    </xdr:to>
    <xdr:grpSp>
      <xdr:nvGrpSpPr>
        <xdr:cNvPr id="147" name="Group 146">
          <a:extLst>
            <a:ext uri="{FF2B5EF4-FFF2-40B4-BE49-F238E27FC236}">
              <a16:creationId xmlns:a16="http://schemas.microsoft.com/office/drawing/2014/main" id="{27C379F3-48EA-25F0-8D33-E1C0BEC6E8D2}"/>
            </a:ext>
          </a:extLst>
        </xdr:cNvPr>
        <xdr:cNvGrpSpPr/>
      </xdr:nvGrpSpPr>
      <xdr:grpSpPr>
        <a:xfrm>
          <a:off x="113208" y="6691997"/>
          <a:ext cx="9808032" cy="7184957"/>
          <a:chOff x="7195457" y="566062"/>
          <a:chExt cx="10112832" cy="8026144"/>
        </a:xfrm>
      </xdr:grpSpPr>
      <xdr:sp macro="" textlink="">
        <xdr:nvSpPr>
          <xdr:cNvPr id="148" name="Rectangle: Rounded Corners 147">
            <a:extLst>
              <a:ext uri="{FF2B5EF4-FFF2-40B4-BE49-F238E27FC236}">
                <a16:creationId xmlns:a16="http://schemas.microsoft.com/office/drawing/2014/main" id="{456E8F61-9A8E-69F4-A182-138B856F60B9}"/>
              </a:ext>
            </a:extLst>
          </xdr:cNvPr>
          <xdr:cNvSpPr/>
        </xdr:nvSpPr>
        <xdr:spPr>
          <a:xfrm>
            <a:off x="7195457" y="566062"/>
            <a:ext cx="10112832" cy="8026144"/>
          </a:xfrm>
          <a:prstGeom prst="roundRect">
            <a:avLst>
              <a:gd name="adj" fmla="val 8329"/>
            </a:avLst>
          </a:prstGeom>
          <a:solidFill>
            <a:schemeClr val="bg1"/>
          </a:solidFill>
          <a:ln>
            <a:noFill/>
          </a:ln>
          <a:effectLst>
            <a:glow>
              <a:schemeClr val="accent1">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9" name="TextBox 148">
            <a:extLst>
              <a:ext uri="{FF2B5EF4-FFF2-40B4-BE49-F238E27FC236}">
                <a16:creationId xmlns:a16="http://schemas.microsoft.com/office/drawing/2014/main" id="{8F71EB25-E0B4-B83D-F718-4FFEC58500C0}"/>
              </a:ext>
            </a:extLst>
          </xdr:cNvPr>
          <xdr:cNvSpPr txBox="1"/>
        </xdr:nvSpPr>
        <xdr:spPr>
          <a:xfrm>
            <a:off x="7421879" y="625928"/>
            <a:ext cx="5802090" cy="856997"/>
          </a:xfrm>
          <a:prstGeom prst="rect">
            <a:avLst/>
          </a:prstGeom>
          <a:no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US" sz="1200" b="1" baseline="0">
              <a:effectLst/>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u="none" strike="noStrike">
                <a:solidFill>
                  <a:schemeClr val="dk1"/>
                </a:solidFill>
                <a:effectLst/>
                <a:latin typeface="+mn-lt"/>
                <a:ea typeface="+mn-ea"/>
                <a:cs typeface="+mn-cs"/>
              </a:rPr>
              <a:t>Coupon Discount Distribution Analysis</a:t>
            </a:r>
            <a:r>
              <a:rPr lang="en-US" sz="2800" b="1"/>
              <a:t> </a:t>
            </a:r>
            <a:endParaRPr lang="en-US" sz="2800" b="1">
              <a:effectLst/>
            </a:endParaRPr>
          </a:p>
          <a:p>
            <a:endParaRPr lang="en-US" sz="4400" b="1"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grpSp>
    <xdr:clientData/>
  </xdr:twoCellAnchor>
  <xdr:twoCellAnchor>
    <xdr:from>
      <xdr:col>1</xdr:col>
      <xdr:colOff>472440</xdr:colOff>
      <xdr:row>43</xdr:row>
      <xdr:rowOff>76200</xdr:rowOff>
    </xdr:from>
    <xdr:to>
      <xdr:col>16</xdr:col>
      <xdr:colOff>335280</xdr:colOff>
      <xdr:row>76</xdr:row>
      <xdr:rowOff>106679</xdr:rowOff>
    </xdr:to>
    <mc:AlternateContent xmlns:mc="http://schemas.openxmlformats.org/markup-compatibility/2006">
      <mc:Choice xmlns:cx2="http://schemas.microsoft.com/office/drawing/2015/10/21/chartex" Requires="cx2">
        <xdr:graphicFrame macro="">
          <xdr:nvGraphicFramePr>
            <xdr:cNvPr id="151" name="Chart 150">
              <a:extLst>
                <a:ext uri="{FF2B5EF4-FFF2-40B4-BE49-F238E27FC236}">
                  <a16:creationId xmlns:a16="http://schemas.microsoft.com/office/drawing/2014/main" id="{20573F4D-1C4C-4D3B-AAED-51DCD5D2D2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365760</xdr:colOff>
      <xdr:row>40</xdr:row>
      <xdr:rowOff>45720</xdr:rowOff>
    </xdr:from>
    <xdr:to>
      <xdr:col>28</xdr:col>
      <xdr:colOff>396240</xdr:colOff>
      <xdr:row>43</xdr:row>
      <xdr:rowOff>0</xdr:rowOff>
    </xdr:to>
    <xdr:sp macro="" textlink="">
      <xdr:nvSpPr>
        <xdr:cNvPr id="155" name="TextBox 154">
          <a:extLst>
            <a:ext uri="{FF2B5EF4-FFF2-40B4-BE49-F238E27FC236}">
              <a16:creationId xmlns:a16="http://schemas.microsoft.com/office/drawing/2014/main" id="{E7A20288-06F5-0429-8E0A-7B0705F8ABA7}"/>
            </a:ext>
          </a:extLst>
        </xdr:cNvPr>
        <xdr:cNvSpPr txBox="1"/>
      </xdr:nvSpPr>
      <xdr:spPr>
        <a:xfrm>
          <a:off x="11338560" y="7360920"/>
          <a:ext cx="61264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Most Selling Food Item</a:t>
          </a:r>
        </a:p>
      </xdr:txBody>
    </xdr:sp>
    <xdr:clientData/>
  </xdr:twoCellAnchor>
  <xdr:twoCellAnchor>
    <xdr:from>
      <xdr:col>17</xdr:col>
      <xdr:colOff>320040</xdr:colOff>
      <xdr:row>44</xdr:row>
      <xdr:rowOff>157206</xdr:rowOff>
    </xdr:from>
    <xdr:to>
      <xdr:col>34</xdr:col>
      <xdr:colOff>548640</xdr:colOff>
      <xdr:row>67</xdr:row>
      <xdr:rowOff>167640</xdr:rowOff>
    </xdr:to>
    <xdr:graphicFrame macro="">
      <xdr:nvGraphicFramePr>
        <xdr:cNvPr id="156" name="Chart 155">
          <a:extLst>
            <a:ext uri="{FF2B5EF4-FFF2-40B4-BE49-F238E27FC236}">
              <a16:creationId xmlns:a16="http://schemas.microsoft.com/office/drawing/2014/main" id="{28017601-FC59-4A0D-94CD-B1089202D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4.641183101849" createdVersion="8" refreshedVersion="8" minRefreshableVersion="3" recordCount="107" xr:uid="{009F6B32-2DBA-4BFA-A34E-23AABF4C5139}">
  <cacheSource type="worksheet">
    <worksheetSource name="Table2"/>
  </cacheSource>
  <cacheFields count="41">
    <cacheField name="order_id" numFmtId="1">
      <sharedItems containsSemiMixedTypes="0" containsString="0" containsNumber="1" containsInteger="1" minValue="171863054117" maxValue="175244332362622"/>
    </cacheField>
    <cacheField name="name of the food" numFmtId="1">
      <sharedItems count="76">
        <s v="Michel (Chicken &amp; Mozza Sandwich)"/>
        <s v="Supreme Boneless Chicken Biryani"/>
        <s v="Mississippi Mud Pie"/>
        <s v="Dark Chocolate Smoothie Bowl."/>
        <s v="Chicken Kheema Lasagne"/>
        <s v="Veg. Ramyun"/>
        <s v="Onion Rings"/>
        <s v="Special Pandi Curry Thali"/>
        <s v="Overload Brownie [1 Piece]"/>
        <s v="Chocolate Mousse Cup [100g]"/>
        <s v="Koli Curry With Ney Kulu/Noolputtu"/>
        <s v="Pepperoni Chicken Tikka lasagna"/>
        <s v="Raspberry Dark Chocolate"/>
        <s v="Noolputtu (2 Pcs)"/>
        <s v="Pressure Cooker Chicken Curry and Homestyle Amritsari Dal Meal"/>
        <s v="Cajun Spiced Fries"/>
        <s v="Rasayan High Fiber Bowl[ 500gm 250kcals]"/>
        <s v="Banana Peanutbutter Overnight Oats [350kcals][20gm protein]"/>
        <s v="Midnight Acai Delight [320Kcals] [25Gm-45Gm Protein]"/>
        <s v="Wok Tossed Hakka Noodles"/>
        <s v="Hugo (Fried Chicken &amp; Mozza Sandwich)"/>
        <s v="Belgian Dark Chocolate Milkshake"/>
        <s v="Chicken Fillet Burger Combo"/>
        <s v="Single Lamb Cheese Burger"/>
        <s v="Roasted Chicken Strip Sandwich"/>
        <s v="B.M.T Sandwich"/>
        <s v="High-Protein Chicken Omelette"/>
        <s v="Mutton Bone Soup"/>
        <s v="Ferrero Magic"/>
        <s v="Melted Cheese Chicken Shawarma"/>
        <s v="Nutella Cheese Cake"/>
        <s v="Pork Chashu Ramyun"/>
        <s v="Chocolate Hazelnut Cake (Nutella Cake) (Eggless)"/>
        <s v="Tandoori Chicken Tikka Sandwich Guiltfree"/>
        <s v="Mint Choco Chip Ice Cream [125 Ml]"/>
        <s v="Lebenese Shawarma"/>
        <s v="Mexican Green Wave Pizza"/>
        <s v="Naked Nutella Waffle"/>
        <s v="Salted Caramel Brownie"/>
        <s v="Nutella Stuffed Chocochips Cookie(1 Pc)"/>
        <s v="Chicken Kheema Cheese Paratha"/>
        <s v="Big Spicy Paneer Wrap"/>
        <s v="Trapper Creek (Buff)"/>
        <s v="Paris Delice (Buff)"/>
        <s v="Tandoori Chicken Tikka Cheese Pull Sandwich"/>
        <s v="Spicy Chick'n Cheese"/>
        <s v="Chicken Varattiyathu"/>
        <s v="Peanut Butter &amp; Snicker Thickshake"/>
        <s v="Idiyappam"/>
        <s v="Chicken Darjeeling Steam Momo"/>
        <s v="Cheese Ramyun"/>
        <s v="Dosa (2 Pcs) Chicken Curry"/>
        <s v="Grilled Spicy Lamb Burger"/>
        <s v="Himalayan Steamed Chicken Momos"/>
        <s v="Ghee Gulab Jamun (2 Pcs)"/>
        <s v="Garlic Mayo"/>
        <s v="Meat Curry"/>
        <s v="Idli (2 Pcs)"/>
        <s v="Boneless Chicken Manchurian"/>
        <s v="Aloo Cheese Paratha"/>
        <s v="Tender Coconut Pudding"/>
        <s v="Sugarcane With Ginger"/>
        <s v="12&quot; Badmash Pizza"/>
        <s v="Firecracker Wings"/>
        <s v="Chocolate And Love Smoothie Bowl"/>
        <s v="Trapper Creek"/>
        <s v="Spaghetti Carbonara Chicken"/>
        <s v="Istah's Chicken Shawarma in Rumali"/>
        <s v="Belgian Chocolate Milk Shake"/>
        <s v="Panoor Special Chicken Leg Fry"/>
        <s v="Roasted Garlic Chicken Soup"/>
        <s v="Belgian Chocolate Thick Shake"/>
        <s v="Americano Pasta Non-veg"/>
        <s v="Non Veg Club S/w"/>
        <s v="Open Butter Masala Dosa "/>
        <s v="Dark Chocolate Cake [350 Grams, Serves 3]"/>
      </sharedItems>
    </cacheField>
    <cacheField name="veg or non_veg" numFmtId="1">
      <sharedItems count="2">
        <s v="Non_Veg"/>
        <s v="Veg"/>
      </sharedItems>
    </cacheField>
    <cacheField name="is_coupon_applied" numFmtId="0">
      <sharedItems count="2">
        <b v="1"/>
        <b v="0"/>
      </sharedItems>
    </cacheField>
    <cacheField name="coupon_applied" numFmtId="0">
      <sharedItems count="17">
        <s v="SWIGGYIT"/>
        <s v="No coupon"/>
        <s v="MISSEDYOU"/>
        <s v="DEALICIOUS"/>
        <s v="MDM150"/>
        <s v="TRYNEW"/>
        <s v="JUMBO"/>
        <s v="FLATDEAL"/>
        <s v="FLAT100"/>
        <s v="CELEBRATIONS"/>
        <s v="KINGK50"/>
        <s v="WORLDCUPMANIA"/>
        <s v="LUNCHBINGE"/>
        <s v="TRYNEW-XL"/>
        <s v="SPECIALS"/>
        <s v="PARTY"/>
        <s v="WEEKENDS"/>
      </sharedItems>
    </cacheField>
    <cacheField name="Discount _amount" numFmtId="0">
      <sharedItems containsMixedTypes="1" containsNumber="1" minValue="20.9" maxValue="197"/>
    </cacheField>
    <cacheField name="offers_data" numFmtId="0">
      <sharedItems longText="1"/>
    </cacheField>
    <cacheField name="order_time" numFmtId="0">
      <sharedItems/>
    </cacheField>
    <cacheField name="confirmed_time" numFmtId="0">
      <sharedItems/>
    </cacheField>
    <cacheField name="customer_id" numFmtId="0">
      <sharedItems/>
    </cacheField>
    <cacheField name="order_status" numFmtId="0">
      <sharedItems/>
    </cacheField>
    <cacheField name="delivery_boy.name" numFmtId="0">
      <sharedItems containsMixedTypes="1" containsNumber="1" containsInteger="1" minValue="0" maxValue="0" count="104">
        <s v="NARREDDY NAGESWARA REDDY"/>
        <s v="Kesavamoorthi"/>
        <s v="Safiul Ansari"/>
        <s v="Rama Krishna"/>
        <s v="Tapan Nayak"/>
        <s v="ARUN DYAVANAKATTI"/>
        <s v="PARASH"/>
        <s v="Sanjay Kumar Mohanty"/>
        <s v="DIDAR HUSSAIN LASKAR"/>
        <s v="Vijayakumar  V"/>
        <s v="Gangi Reddy"/>
        <s v="Shiba Kairi"/>
        <s v="Harikrishna R"/>
        <s v="Puran Singh"/>
        <s v="Ash Narayan Das"/>
        <s v="MRITYUNJAY HALDER"/>
        <s v="THARUN N"/>
        <s v="SrinivasSrini "/>
        <s v="Rajesh Kumar"/>
        <s v="Surendra J"/>
        <s v="KAMAL CHETRY"/>
        <s v="Sakti Prasad Sundaray"/>
        <s v="Shaik Yaseen"/>
        <s v="RIYAZ AHMED"/>
        <n v="0"/>
        <s v="RAJESH CHETRY"/>
        <s v="K Babu"/>
        <s v="Kapsi Mohammed Tufail"/>
        <s v="ANSHUMAN DAS"/>
        <s v="SUSHIL MANDAL"/>
        <s v="Kundan"/>
        <s v="chandan  K"/>
        <s v="Noor Azam"/>
        <s v="Bharath R"/>
        <s v="MAHESH BABU"/>
        <s v="Kumar P "/>
        <s v="Subrath Panda"/>
        <s v="Sreedhar V"/>
        <s v="BIRENDRA DHAMI"/>
        <s v="bhagyavanth "/>
        <s v="BHARKATH ALI A"/>
        <s v="KESHAV RAJ BHATTA"/>
        <s v="DEBAJIT SAHA "/>
        <s v="Md Majir Uddin Hachayini"/>
        <s v="Dipak Basnet"/>
        <s v="Rajendra Sahoo"/>
        <s v="ChandraSheaker Raju "/>
        <s v="MUJAHIDUL ISLAM LASKAR"/>
        <s v="Jitendra Kumar Nayak"/>
        <s v="Naresh C"/>
        <s v="SANJIT TATUA"/>
        <s v="VIVEK KANTU RATHOD"/>
        <s v="Satish kumar"/>
        <s v="yogeesha s"/>
        <s v="JAGANNATH MOHANTA"/>
        <s v="RAVI KUMAR MANDAL"/>
        <s v="Imdadul Hoque Laskar"/>
        <s v="Pravin Kumar"/>
        <s v="Siddartha U"/>
        <s v="Binoy Debbarma"/>
        <s v="SUMANMANDAL "/>
        <s v="Mohammad Wasim Akram"/>
        <s v="UMESH"/>
        <s v="UNOOSE YUSUF"/>
        <s v="Irfanirfu "/>
        <s v="SIKENDAR KUMAR YADAV"/>
        <s v="Rajasekar Reddy"/>
        <s v="Jayadev Behera"/>
        <s v="MOSTAFIZAR RAHAMAN"/>
        <s v="Eresha"/>
        <s v="Hasnul Hoque Choudhury "/>
        <s v="SAYAD SAHABUDDIN ALLI"/>
        <s v="Susanta Das"/>
        <s v="MANAS KUMAR SETHI"/>
        <s v="danush "/>
        <s v="Periyasami"/>
        <s v="SATHISHIUMAR G S"/>
        <s v="RAHULB B"/>
        <s v="Rajesh das "/>
        <s v="Dibyajit Phukan"/>
        <s v="Debasish Mahapatra"/>
        <s v="Anil Kumar Yadav"/>
        <s v="Jaydev nath"/>
        <s v="Prakash Dalabehera"/>
        <s v="Akshay Akshay"/>
        <s v="Santakar Santapriya"/>
        <s v="Ramesh K"/>
        <s v="Avverahalli Mallesh Basavesh"/>
        <s v="Amitabh Kumar Pavan"/>
        <s v="Monirul Hoque"/>
        <s v="Priyabrata Jena"/>
        <s v="Manoj Kumar H M"/>
        <s v="Raghunatha"/>
        <s v="Kumar R"/>
        <s v="Paresh Kumar Mohanty"/>
        <s v=""/>
        <s v="Asif Alli"/>
        <s v="Govind Shrma"/>
        <s v="Suresh Mahal"/>
        <s v="Bimbadhar Sahoo"/>
        <s v="MUKESH SINGH"/>
        <s v="Santosh Behera"/>
        <s v="Vivek Kumar"/>
        <s v="Gnanam"/>
      </sharedItems>
    </cacheField>
    <cacheField name="restaurant_id" numFmtId="0">
      <sharedItems/>
    </cacheField>
    <cacheField name="restaurant_name" numFmtId="0">
      <sharedItems/>
    </cacheField>
    <cacheField name="restaurant_address" numFmtId="0">
      <sharedItems/>
    </cacheField>
    <cacheField name="restaurant_locality" numFmtId="0">
      <sharedItems count="38">
        <s v="JP Nagar"/>
        <s v="8th Block"/>
        <s v="Health Bar"/>
        <s v="NGK Complex"/>
        <s v="5th Block"/>
        <s v="Mico Layout"/>
        <s v="7th Sector"/>
        <s v="Lalehzar Apartments Palace Road"/>
        <s v="Begur Hobali"/>
        <s v="3rd Phase"/>
        <s v="Sai Durga Enclave"/>
        <s v="Sarjapur Road"/>
        <s v="HSR Layout"/>
        <s v="Near NIFT College, Sector 1"/>
        <s v="3rd Sector"/>
        <s v="Koramangala"/>
        <s v="Vidya Nagar"/>
        <s v="1st Block"/>
        <s v="Bellandur Sarjapur"/>
        <s v="Kaikondrahalli"/>
        <s v="6th Block"/>
        <s v="KHB Colony"/>
        <s v="1st Sector"/>
        <s v="2nd Sector"/>
        <s v="MANGAMMANAPALYA"/>
        <s v="Hosur Main Road"/>
        <s v="5th Main Rd"/>
        <s v="5th sector"/>
        <s v="Doddakanneli Village"/>
        <s v="Outer Ring Road"/>
        <s v="Sector 2"/>
        <s v="4th Block"/>
        <s v="Indiranagar"/>
        <s v="Green Glen Layout"/>
        <s v="Devarabisanahalli"/>
        <s v="4th sector"/>
        <s v="Sarjapur - Marathahalli Rd"/>
        <s v="5th Block Kormangala"/>
      </sharedItems>
    </cacheField>
    <cacheField name="restaurant_city_name" numFmtId="0">
      <sharedItems/>
    </cacheField>
    <cacheField name="delivery_time_in_seconds" numFmtId="0">
      <sharedItems containsSemiMixedTypes="0" containsString="0" containsNumber="1" containsInteger="1" minValue="0" maxValue="4528" count="104">
        <n v="1587"/>
        <n v="1853"/>
        <n v="1559"/>
        <n v="3760"/>
        <n v="2257"/>
        <n v="3262"/>
        <n v="2401"/>
        <n v="2824"/>
        <n v="2011"/>
        <n v="1455"/>
        <n v="4292"/>
        <n v="2730"/>
        <n v="1927"/>
        <n v="2041"/>
        <n v="4528"/>
        <n v="3728"/>
        <n v="2470"/>
        <n v="1594"/>
        <n v="2999"/>
        <n v="2684"/>
        <n v="1654"/>
        <n v="2161"/>
        <n v="2775"/>
        <n v="2197"/>
        <n v="0"/>
        <n v="1950"/>
        <n v="2384"/>
        <n v="1985"/>
        <n v="1375"/>
        <n v="1703"/>
        <n v="1726"/>
        <n v="836"/>
        <n v="2224"/>
        <n v="854"/>
        <n v="779"/>
        <n v="2901"/>
        <n v="4130"/>
        <n v="864"/>
        <n v="2660"/>
        <n v="2107"/>
        <n v="3667"/>
        <n v="1348"/>
        <n v="1954"/>
        <n v="1074"/>
        <n v="1143"/>
        <n v="2408"/>
        <n v="2856"/>
        <n v="1383"/>
        <n v="1410"/>
        <n v="2633"/>
        <n v="2219"/>
        <n v="805"/>
        <n v="1851"/>
        <n v="3484"/>
        <n v="1732"/>
        <n v="1409"/>
        <n v="1413"/>
        <n v="2746"/>
        <n v="2411"/>
        <n v="3551"/>
        <n v="1000"/>
        <n v="2664"/>
        <n v="1889"/>
        <n v="1788"/>
        <n v="1389"/>
        <n v="1080"/>
        <n v="2671"/>
        <n v="1550"/>
        <n v="1673"/>
        <n v="2047"/>
        <n v="2006"/>
        <n v="3013"/>
        <n v="1495"/>
        <n v="2736"/>
        <n v="2540"/>
        <n v="782"/>
        <n v="661"/>
        <n v="2007"/>
        <n v="927"/>
        <n v="1957"/>
        <n v="2025"/>
        <n v="753"/>
        <n v="1001"/>
        <n v="2566"/>
        <n v="1467"/>
        <n v="1835"/>
        <n v="971"/>
        <n v="2783"/>
        <n v="1091"/>
        <n v="2259"/>
        <n v="2907"/>
        <n v="1712"/>
        <n v="2738"/>
        <n v="2483"/>
        <n v="1839"/>
        <n v="2187"/>
        <n v="1728"/>
        <n v="1269"/>
        <n v="3238"/>
        <n v="1585"/>
        <n v="1720"/>
        <n v="2004"/>
        <n v="2648"/>
        <n v="1734"/>
      </sharedItems>
    </cacheField>
    <cacheField name="delivery time hrs" numFmtId="165">
      <sharedItems containsSemiMixedTypes="0" containsNonDate="0" containsDate="1" containsString="0" minDate="1899-12-30T00:00:00" maxDate="1900-03-15T11:12:00" count="104">
        <d v="1900-01-25T10:48:00"/>
        <d v="1900-01-29T21:12:00"/>
        <d v="1900-01-24T23:36:00"/>
        <d v="1900-03-02T16:00:00"/>
        <d v="1900-02-05T14:48:00"/>
        <d v="1900-02-22T08:48:00"/>
        <d v="1900-02-08T00:24:00"/>
        <d v="1900-02-15T01:36:00"/>
        <d v="1900-02-01T12:24:00"/>
        <d v="1900-01-23T06:00:00"/>
        <d v="1900-03-11T12:48:00"/>
        <d v="1900-02-13T12:00:00"/>
        <d v="1900-01-31T02:48:00"/>
        <d v="1900-02-02T00:24:00"/>
        <d v="1900-03-15T11:12:00"/>
        <d v="1900-03-02T03:12:00"/>
        <d v="1900-02-09T04:00:00"/>
        <d v="1900-01-25T13:36:00"/>
        <d v="1900-02-17T23:36:00"/>
        <d v="1900-02-12T17:36:00"/>
        <d v="1900-01-26T13:36:00"/>
        <d v="1900-02-04T00:24:00"/>
        <d v="1900-02-14T06:00:00"/>
        <d v="1900-02-04T14:48:00"/>
        <d v="1899-12-30T00:00:00"/>
        <d v="1900-01-31T12:00:00"/>
        <d v="1900-02-07T17:36:00"/>
        <d v="1900-02-01T02:00:00"/>
        <d v="1900-01-21T22:00:00"/>
        <d v="1900-01-27T09:12:00"/>
        <d v="1900-01-27T18:24:00"/>
        <d v="1900-01-12T22:24:00"/>
        <d v="1900-02-05T01:36:00"/>
        <d v="1900-01-13T05:36:00"/>
        <d v="1900-01-11T23:36:00"/>
        <d v="1900-02-16T08:24:00"/>
        <d v="1900-03-08T20:00:00"/>
        <d v="1900-01-13T09:36:00"/>
        <d v="1900-02-12T08:00:00"/>
        <d v="1900-02-03T02:48:00"/>
        <d v="1900-03-01T02:48:00"/>
        <d v="1900-01-21T11:12:00"/>
        <d v="1900-01-31T13:36:00"/>
        <d v="1900-01-16T21:36:00"/>
        <d v="1900-01-18T01:12:00"/>
        <d v="1900-02-08T03:12:00"/>
        <d v="1900-02-15T14:24:00"/>
        <d v="1900-01-22T01:12:00"/>
        <d v="1900-01-22T12:00:00"/>
        <d v="1900-02-11T21:12:00"/>
        <d v="1900-02-04T23:36:00"/>
        <d v="1900-01-12T10:00:00"/>
        <d v="1900-01-29T20:24:00"/>
        <d v="1900-02-26T01:36:00"/>
        <d v="1900-01-27T20:48:00"/>
        <d v="1900-01-22T11:36:00"/>
        <d v="1900-01-22T13:12:00"/>
        <d v="1900-02-13T18:24:00"/>
        <d v="1900-02-08T04:24:00"/>
        <d v="1900-02-27T04:24:00"/>
        <d v="1900-01-15T16:00:00"/>
        <d v="1900-02-12T09:36:00"/>
        <d v="1900-01-30T11:36:00"/>
        <d v="1900-01-28T19:12:00"/>
        <d v="1900-01-22T03:36:00"/>
        <d v="1900-01-17T00:00:00"/>
        <d v="1900-02-12T12:24:00"/>
        <d v="1900-01-24T20:00:00"/>
        <d v="1900-01-26T21:12:00"/>
        <d v="1900-02-02T02:48:00"/>
        <d v="1900-02-01T10:24:00"/>
        <d v="1900-02-18T05:12:00"/>
        <d v="1900-01-23T22:00:00"/>
        <d v="1900-02-13T14:24:00"/>
        <d v="1900-02-10T08:00:00"/>
        <d v="1900-01-12T00:48:00"/>
        <d v="1900-01-10T00:24:00"/>
        <d v="1900-02-01T10:48:00"/>
        <d v="1900-01-14T10:48:00"/>
        <d v="1900-01-31T14:48:00"/>
        <d v="1900-02-01T18:00:00"/>
        <d v="1900-01-11T13:12:00"/>
        <d v="1900-01-15T16:24:00"/>
        <d v="1900-02-10T18:24:00"/>
        <d v="1900-01-23T10:48:00"/>
        <d v="1900-01-29T14:00:00"/>
        <d v="1900-01-15T04:24:00"/>
        <d v="1900-02-14T09:12:00"/>
        <d v="1900-01-17T04:24:00"/>
        <d v="1900-02-05T15:36:00"/>
        <d v="1900-02-16T10:48:00"/>
        <d v="1900-01-27T12:48:00"/>
        <d v="1900-02-13T15:12:00"/>
        <d v="1900-02-09T09:12:00"/>
        <d v="1900-01-29T15:36:00"/>
        <d v="1900-02-04T10:48:00"/>
        <d v="1900-01-27T19:12:00"/>
        <d v="1900-01-20T03:36:00"/>
        <d v="1900-02-21T23:12:00"/>
        <d v="1900-01-25T10:00:00"/>
        <d v="1900-01-27T16:00:00"/>
        <d v="1900-02-01T09:36:00"/>
        <d v="1900-02-12T03:12:00"/>
        <d v="1900-01-27T21:36:00"/>
      </sharedItems>
      <fieldGroup par="40"/>
    </cacheField>
    <cacheField name="order_total" numFmtId="0">
      <sharedItems containsSemiMixedTypes="0" containsString="0" containsNumber="1" containsInteger="1" minValue="115" maxValue="1905"/>
    </cacheField>
    <cacheField name="order_total_with_tip" numFmtId="0">
      <sharedItems containsSemiMixedTypes="0" containsString="0" containsNumber="1" containsInteger="1" minValue="115" maxValue="1905"/>
    </cacheField>
    <cacheField name="net_total" numFmtId="0">
      <sharedItems containsSemiMixedTypes="0" containsString="0" containsNumber="1" containsInteger="1" minValue="115" maxValue="1905"/>
    </cacheField>
    <cacheField name="item_total" numFmtId="0">
      <sharedItems containsSemiMixedTypes="0" containsString="0" containsNumber="1" minValue="149" maxValue="1970"/>
    </cacheField>
    <cacheField name="free_delivery_discount_hit" numFmtId="0">
      <sharedItems containsSemiMixedTypes="0" containsString="0" containsNumber="1" containsInteger="1" minValue="0" maxValue="92"/>
    </cacheField>
    <cacheField name="restaurant_lat_lng" numFmtId="0">
      <sharedItems/>
    </cacheField>
    <cacheField name="Distance group" numFmtId="0">
      <sharedItems count="4">
        <s v="2-5 Km"/>
        <s v="5-8 Km"/>
        <s v="8+Km"/>
        <s v="0-2 Km"/>
      </sharedItems>
    </cacheField>
    <cacheField name="restaurant_customer_distance" numFmtId="0">
      <sharedItems containsSemiMixedTypes="0" containsString="0" containsNumber="1" minValue="0" maxValue="10.199999999999999"/>
    </cacheField>
    <cacheField name="order_payment_method" numFmtId="0">
      <sharedItems count="3">
        <s v="UPICollect"/>
        <s v="Cash"/>
        <s v="UPIIntent"/>
      </sharedItems>
    </cacheField>
    <cacheField name="restaurant_area_name" numFmtId="0">
      <sharedItems/>
    </cacheField>
    <cacheField name="on_time" numFmtId="0">
      <sharedItems count="2">
        <b v="0"/>
        <b v="1"/>
      </sharedItems>
    </cacheField>
    <cacheField name="rain_mode" numFmtId="0">
      <sharedItems containsSemiMixedTypes="0" containsString="0" containsNumber="1" containsInteger="1" minValue="0" maxValue="2"/>
    </cacheField>
    <cacheField name="Month Start" numFmtId="17">
      <sharedItems containsSemiMixedTypes="0" containsNonDate="0" containsDate="1" containsString="0" minDate="2023-07-01T00:00:00" maxDate="2024-05-02T00:00:00" count="11">
        <d v="2024-05-01T00:00:00"/>
        <d v="2024-04-01T00:00:00"/>
        <d v="2024-03-01T00:00:00"/>
        <d v="2024-02-01T00:00:00"/>
        <d v="2024-01-01T00:00:00"/>
        <d v="2023-12-01T00:00:00"/>
        <d v="2023-11-01T00:00:00"/>
        <d v="2023-10-01T00:00:00"/>
        <d v="2023-09-01T00:00:00"/>
        <d v="2023-08-01T00:00:00"/>
        <d v="2023-07-01T00:00:00"/>
      </sharedItems>
      <fieldGroup par="38"/>
    </cacheField>
    <cacheField name="Area Name" numFmtId="0">
      <sharedItems/>
    </cacheField>
    <cacheField name="Restaurant Name" numFmtId="0">
      <sharedItems/>
    </cacheField>
    <cacheField name="Latitiude" numFmtId="0">
      <sharedItems/>
    </cacheField>
    <cacheField name="Longitude" numFmtId="0">
      <sharedItems/>
    </cacheField>
    <cacheField name="Months (Month Start)" numFmtId="0" databaseField="0">
      <fieldGroup base="31">
        <rangePr groupBy="months" startDate="2023-07-01T00:00:00" endDate="2024-05-02T00:00:00"/>
        <groupItems count="14">
          <s v="&lt;7/1/2023"/>
          <s v="Jan"/>
          <s v="Feb"/>
          <s v="Mar"/>
          <s v="Apr"/>
          <s v="May"/>
          <s v="Jun"/>
          <s v="Jul"/>
          <s v="Aug"/>
          <s v="Sep"/>
          <s v="Oct"/>
          <s v="Nov"/>
          <s v="Dec"/>
          <s v="&gt;5/2/2024"/>
        </groupItems>
      </fieldGroup>
    </cacheField>
    <cacheField name="Quarters (Month Start)" numFmtId="0" databaseField="0">
      <fieldGroup base="31">
        <rangePr groupBy="quarters" startDate="2023-07-01T00:00:00" endDate="2024-05-02T00:00:00"/>
        <groupItems count="6">
          <s v="&lt;7/1/2023"/>
          <s v="Qtr1"/>
          <s v="Qtr2"/>
          <s v="Qtr3"/>
          <s v="Qtr4"/>
          <s v="&gt;5/2/2024"/>
        </groupItems>
      </fieldGroup>
    </cacheField>
    <cacheField name="Years (Month Start)" numFmtId="0" databaseField="0">
      <fieldGroup base="31">
        <rangePr groupBy="years" startDate="2023-07-01T00:00:00" endDate="2024-05-02T00:00:00"/>
        <groupItems count="4">
          <s v="&lt;7/1/2023"/>
          <s v="2023"/>
          <s v="2024"/>
          <s v="&gt;5/2/2024"/>
        </groupItems>
      </fieldGroup>
    </cacheField>
    <cacheField name="Days (delivery time hrs)" numFmtId="0" databaseField="0">
      <fieldGroup base="18">
        <rangePr groupBy="days" startDate="1899-12-30T00:00:00" endDate="1900-03-15T11:12:00"/>
        <groupItems count="368">
          <s v="&lt;1/0/19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5/1900"/>
        </groupItems>
      </fieldGroup>
    </cacheField>
    <cacheField name="Months (delivery time hrs)" numFmtId="0" databaseField="0">
      <fieldGroup base="18">
        <rangePr groupBy="months" startDate="1899-12-30T00:00:00" endDate="1900-03-15T11:12:00"/>
        <groupItems count="14">
          <s v="&lt;1/0/1900"/>
          <s v="Jan"/>
          <s v="Feb"/>
          <s v="Mar"/>
          <s v="Apr"/>
          <s v="May"/>
          <s v="Jun"/>
          <s v="Jul"/>
          <s v="Aug"/>
          <s v="Sep"/>
          <s v="Oct"/>
          <s v="Nov"/>
          <s v="Dec"/>
          <s v="&gt;3/15/1900"/>
        </groupItems>
      </fieldGroup>
    </cacheField>
  </cacheFields>
  <extLst>
    <ext xmlns:x14="http://schemas.microsoft.com/office/spreadsheetml/2009/9/main" uri="{725AE2AE-9491-48be-B2B4-4EB974FC3084}">
      <x14:pivotCacheDefinition pivotCacheId="645173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n v="175244332362622"/>
    <x v="0"/>
    <x v="0"/>
    <x v="0"/>
    <x v="0"/>
    <n v="120"/>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21 12:28:52"/>
    <s v="2024-05-21 12:29:13"/>
    <s v="21191609"/>
    <s v="Delivered"/>
    <x v="0"/>
    <s v="434304"/>
    <s v="Paris Panini - Gourmet Sandwiches &amp; Wraps"/>
    <s v="No.690/A, 14th Main, 100ft Road, JP Nagar 2nd Phase, Bangalore 560078."/>
    <x v="0"/>
    <s v="Bangalore"/>
    <x v="0"/>
    <x v="0"/>
    <n v="146"/>
    <n v="146"/>
    <n v="146"/>
    <n v="225"/>
    <n v="43"/>
    <s v="12.90649867,77.59165435"/>
    <x v="0"/>
    <n v="2.2000000000000002"/>
    <x v="0"/>
    <s v="JP Nagar"/>
    <x v="0"/>
    <n v="0"/>
    <x v="0"/>
    <s v="JP Nagar"/>
    <s v="Paris Panini"/>
    <s v="12.90649867"/>
    <s v="77.59165435"/>
  </r>
  <r>
    <n v="175167017704058"/>
    <x v="1"/>
    <x v="0"/>
    <x v="1"/>
    <x v="1"/>
    <s v="NO OFFER"/>
    <s v="&quot;total_offer_discount&quot;:NO OFFER,"/>
    <s v="2024-05-20 15:00:17"/>
    <s v="2024-05-20 15:00:38"/>
    <s v="21191609"/>
    <s v="Delivered"/>
    <x v="1"/>
    <s v="12804"/>
    <s v="Nandhana Palace"/>
    <s v="JP nagar, 147, 24th Main Rd, R.K Colony, Marenahalli, 2nd Phase, J. P. Nagar, Bengaluru, Karnataka 560078"/>
    <x v="0"/>
    <s v="Bangalore"/>
    <x v="1"/>
    <x v="1"/>
    <n v="555"/>
    <n v="555"/>
    <n v="555"/>
    <n v="480"/>
    <n v="41"/>
    <s v="12.914599,77.585509"/>
    <x v="0"/>
    <n v="2.2000000000000002"/>
    <x v="0"/>
    <s v="JP Nagar"/>
    <x v="0"/>
    <n v="0"/>
    <x v="0"/>
    <s v="JP Nagar"/>
    <s v="Nandhana Palace"/>
    <s v="12.914599"/>
    <s v="77.585509"/>
  </r>
  <r>
    <n v="175017114796029"/>
    <x v="2"/>
    <x v="0"/>
    <x v="0"/>
    <x v="2"/>
    <n v="80"/>
    <s v="[{&quot;id&quot;:&quot;c1399a7d-65f4-486a-ba3e-72a9d9c70cad&quot;,&quot;super_type&quot;:&quot;SUPERTYPE_UNSPECIFIED&quot;,&quot;total_offer_discount&quot;:80,&quot;discount_share&quot;:{&quot;swiggy_discount&quot;:16,&quot;store_discount&quot;:64,&quot;alliance_discount&quot;:0},&quot;discount_type&quot;:&quot;PERCENTAGE&quot;,&quot;description&quot;:&quot;40% off&quot;,&quot;fixed_charges&quot;:{&quot;gp&quot;:{&quot;id&quot;:&quot;&quot;,&quot;final_price&quot;:0}}}]"/>
    <s v="2024-05-18 21:21:54"/>
    <s v="2024-05-18 21:22:15"/>
    <s v="21191609"/>
    <s v="Delivered"/>
    <x v="2"/>
    <s v="15250"/>
    <s v="The Ganache Factory - Cakes &amp; Desserts"/>
    <s v="#156, 43rd Cross, 8th Block, Next to Udupi Hub Resto, Jayanagar, Bangalore"/>
    <x v="1"/>
    <s v="Bangalore"/>
    <x v="2"/>
    <x v="2"/>
    <n v="382"/>
    <n v="382"/>
    <n v="382"/>
    <n v="400"/>
    <n v="69"/>
    <s v="12.91835714,77.578127"/>
    <x v="0"/>
    <n v="3.6"/>
    <x v="0"/>
    <s v="Jayanagar"/>
    <x v="1"/>
    <n v="0"/>
    <x v="0"/>
    <s v="Jayanagar"/>
    <s v="The Ganache Factory"/>
    <s v="12.91835714"/>
    <s v="77.578127"/>
  </r>
  <r>
    <n v="174973046023416"/>
    <x v="3"/>
    <x v="1"/>
    <x v="0"/>
    <x v="0"/>
    <n v="39.99"/>
    <s v="[{&quot;id&quot;:&quot;28bf3ebb-4a69-4a92-88a4-f491a5f86e17&quot;,&quot;super_type&quot;:&quot;SUPERTYPE_UNSPECIFIED&quot;,&quot;total_offer_discount&quot;:39.99,&quot;discount_share&quot;:{&quot;swiggy_discount&quot;:0,&quot;store_discount&quot;:39.99,&quot;alliance_discount&quot;:0},&quot;discount_type&quot;:&quot;PERCENTAGE&quot;,&quot;description&quot;:&quot;10% off&quot;,&quot;fixed_charges&quot;:{&quot;gp&quot;:{&quot;id&quot;:&quot;&quot;,&quot;final_price&quot;:0}}}]"/>
    <s v="2024-05-18 09:07:26"/>
    <s v="2024-05-18 09:07:44"/>
    <s v="21191609"/>
    <s v="Delivered"/>
    <x v="3"/>
    <s v="630473"/>
    <s v="Rasayan"/>
    <s v="652,13th cross,29th main road BTM 2nd stage,560078, Bangalore Karnataka"/>
    <x v="2"/>
    <s v="Bangalore"/>
    <x v="3"/>
    <x v="3"/>
    <n v="421"/>
    <n v="421"/>
    <n v="421"/>
    <n v="415"/>
    <n v="46"/>
    <s v="12.907799,77.613487"/>
    <x v="0"/>
    <n v="2.5"/>
    <x v="0"/>
    <s v="BTM 2nd Stage"/>
    <x v="0"/>
    <n v="0"/>
    <x v="0"/>
    <s v="BTM 2nd Stage"/>
    <s v="Rasayan"/>
    <s v="12.907799"/>
    <s v="77.613487"/>
  </r>
  <r>
    <n v="174906705849277"/>
    <x v="4"/>
    <x v="0"/>
    <x v="0"/>
    <x v="3"/>
    <n v="124.99"/>
    <s v="[{&quot;id&quot;:&quot;91e6269d-640b-443e-a7d4-46089c0574f6&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17 14:41:45"/>
    <s v="2024-05-17 14:42:09"/>
    <s v="21191609"/>
    <s v="Delivered"/>
    <x v="4"/>
    <s v="34363"/>
    <s v="Firangi Bake"/>
    <s v="Shop No.4, Frist Floor, NGK Complex, Tavarekere Main Rd, 1st Stage, BTM Layout, Bengaluru, Karnataka 560029 ( Above DMart Ready)"/>
    <x v="3"/>
    <s v="Bangalore"/>
    <x v="4"/>
    <x v="4"/>
    <n v="556"/>
    <n v="556"/>
    <n v="556"/>
    <n v="624"/>
    <n v="35"/>
    <s v="12.920219,77.610520"/>
    <x v="0"/>
    <n v="2.2000000000000002"/>
    <x v="0"/>
    <s v="BTM 1st Stage"/>
    <x v="0"/>
    <n v="0"/>
    <x v="0"/>
    <s v="BTM 1st Stage"/>
    <s v="Firangi Bake"/>
    <s v="12.920219"/>
    <s v="77.610520"/>
  </r>
  <r>
    <n v="174329455765789"/>
    <x v="5"/>
    <x v="1"/>
    <x v="0"/>
    <x v="4"/>
    <n v="149.99"/>
    <s v="[{&quot;id&quot;:&quot;60d51c5f-a27d-407c-9d72-c55f498dea78&quot;,&quot;super_type&quot;:&quot;SUPERTYPE_UNSPECIFIED&quot;,&quot;total_offer_discount&quot;:149.99,&quot;discount_share&quot;:{&quot;swiggy_discount&quot;:15,&quot;store_discount&quot;:134.99,&quot;alliance_discount&quot;:0},&quot;discount_type&quot;:&quot;FLAT&quot;,&quot;description&quot;:&quot;Flat ₹150 off&quot;,&quot;fixed_charges&quot;:{&quot;gp&quot;:{&quot;id&quot;:&quot;&quot;,&quot;final_price&quot;:0}}}]"/>
    <s v="2024-05-10 22:20:55"/>
    <s v="2024-05-10 22:21:01"/>
    <s v="21191609"/>
    <s v="Delivered"/>
    <x v="5"/>
    <s v="474244"/>
    <s v="Daily Sushi"/>
    <s v="No.5, 1st Floor, 9th Main Road, 5th block, Jayanagar, 560041"/>
    <x v="4"/>
    <s v="Bangalore"/>
    <x v="5"/>
    <x v="5"/>
    <n v="1062"/>
    <n v="1062"/>
    <n v="1062"/>
    <n v="1050"/>
    <n v="45"/>
    <s v="12.92243257,77.58390586"/>
    <x v="0"/>
    <n v="3.2"/>
    <x v="1"/>
    <s v="Jayanagar"/>
    <x v="0"/>
    <n v="0"/>
    <x v="0"/>
    <s v="Jayanagar"/>
    <s v="Daily Sushi"/>
    <s v="12.92243257"/>
    <s v="77.58390586"/>
  </r>
  <r>
    <n v="174318296922309"/>
    <x v="6"/>
    <x v="1"/>
    <x v="0"/>
    <x v="0"/>
    <n v="120"/>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10 19:14:56"/>
    <s v="2024-05-10 19:15:01"/>
    <s v="21191609"/>
    <s v="Delivered"/>
    <x v="6"/>
    <s v="434304"/>
    <s v="Paris Panini - Gourmet Sandwiches &amp; Wraps"/>
    <s v="No.690/A, 14th Main, 100ft Road, JP Nagar 2nd Phase, Bangalore 560078."/>
    <x v="0"/>
    <s v="Bangalore"/>
    <x v="6"/>
    <x v="6"/>
    <n v="440"/>
    <n v="440"/>
    <n v="440"/>
    <n v="480"/>
    <n v="45"/>
    <s v="12.90649867,77.59165435"/>
    <x v="0"/>
    <n v="2.1"/>
    <x v="1"/>
    <s v="JP Nagar"/>
    <x v="0"/>
    <n v="0"/>
    <x v="0"/>
    <s v="JP Nagar"/>
    <s v="Paris Panini"/>
    <s v="12.90649867"/>
    <s v="77.59165435"/>
  </r>
  <r>
    <n v="174118005152904"/>
    <x v="7"/>
    <x v="0"/>
    <x v="0"/>
    <x v="0"/>
    <n v="35"/>
    <s v="[{&quot;id&quot;:&quot;8a02a1ac-9efe-46ea-9649-fc635c7c8618&quot;,&quot;super_type&quot;:&quot;SUPERTYPE_UNSPECIFIED&quot;,&quot;total_offer_discount&quot;:35,&quot;discount_share&quot;:{&quot;swiggy_discount&quot;:0,&quot;store_discount&quot;:35,&quot;alliance_discount&quot;:0},&quot;discount_type&quot;:&quot;PERCENTAGE&quot;,&quot;description&quot;:&quot;10% off&quot;,&quot;fixed_charges&quot;:{&quot;gp&quot;:{&quot;id&quot;:&quot;&quot;,&quot;final_price&quot;:0}}}]"/>
    <s v="2024-05-08 11:36:45"/>
    <s v="2024-05-08 11:37:28"/>
    <s v="21191609"/>
    <s v="Delivered"/>
    <x v="7"/>
    <s v="534276"/>
    <s v="Naalnaad Mane"/>
    <s v="16,2ND FLOOR GOWRY'S BUILDING,ABOVE DOMINO'S,SY NO 13 OF AREKERE VILLAGE,BANNERGHATTA,BANGLAORE,jayanagar,B.B.M.PM south, karnataka - 560076"/>
    <x v="5"/>
    <s v="Bangalore"/>
    <x v="7"/>
    <x v="7"/>
    <n v="352"/>
    <n v="352"/>
    <n v="352"/>
    <n v="350"/>
    <n v="36"/>
    <s v="12.89009167,77.5976944"/>
    <x v="0"/>
    <n v="3.2"/>
    <x v="0"/>
    <s v="Arekere"/>
    <x v="1"/>
    <n v="0"/>
    <x v="0"/>
    <s v="Arekere"/>
    <s v="Naalnaad Mane"/>
    <s v="12.89009167"/>
    <s v="77.5976944"/>
  </r>
  <r>
    <n v="174075356745024"/>
    <x v="8"/>
    <x v="0"/>
    <x v="1"/>
    <x v="1"/>
    <s v="NO OFFER"/>
    <s v="&quot;total_offer_discount&quot;:NO OFFER,"/>
    <s v="2024-05-07 23:45:56"/>
    <s v="2024-05-07 23:46:17"/>
    <s v="21191609"/>
    <s v="Delivered"/>
    <x v="8"/>
    <s v="524936"/>
    <s v="Theobroma"/>
    <s v="SHOP NO-39,SHABARI ARCADE,14TH MAIN ROAD,OPP MAX SHOWROOM, HSR LAYOUT,BANGALORE-560102, BTM Layout , B.B.M.P South, Karnataka-560102"/>
    <x v="6"/>
    <s v="Bangalore"/>
    <x v="8"/>
    <x v="8"/>
    <n v="644"/>
    <n v="644"/>
    <n v="644"/>
    <n v="275"/>
    <n v="71"/>
    <s v="12.91135428,77.6380469"/>
    <x v="1"/>
    <n v="5.2"/>
    <x v="0"/>
    <s v="HSR Layout"/>
    <x v="1"/>
    <n v="0"/>
    <x v="0"/>
    <s v="HSR Layout"/>
    <s v="Theobroma"/>
    <s v="12.91135428"/>
    <s v="77.6380469"/>
  </r>
  <r>
    <n v="174067299373268"/>
    <x v="9"/>
    <x v="1"/>
    <x v="1"/>
    <x v="1"/>
    <s v="NO OFFER"/>
    <s v="&quot;total_offer_discount&quot;:NO OFFER,"/>
    <s v="2024-05-07 21:31:39"/>
    <s v="2024-05-07 21:31:57"/>
    <s v="21191609"/>
    <s v="Delivered"/>
    <x v="9"/>
    <s v="437065"/>
    <s v="Theobroma"/>
    <s v="SHOP NO. 475, GROUND FLOOR, 39TH &quot;C&quot; CROSS, 9TH MAIN, 5THBLOCK, JAYANAGAR,BANGALORE, Jayanagar ,B.B.M.P South, Karnataka,560041"/>
    <x v="4"/>
    <s v="Bangalore"/>
    <x v="9"/>
    <x v="9"/>
    <n v="387"/>
    <n v="387"/>
    <n v="387"/>
    <n v="275"/>
    <n v="0"/>
    <s v="12.92017647,77.5836421"/>
    <x v="0"/>
    <n v="3.2"/>
    <x v="0"/>
    <s v="Jayanagar"/>
    <x v="1"/>
    <n v="0"/>
    <x v="0"/>
    <s v="Jayanagar"/>
    <s v="Theobroma"/>
    <s v="12.92017647"/>
    <s v="77.5836421"/>
  </r>
  <r>
    <n v="174058332503576"/>
    <x v="10"/>
    <x v="0"/>
    <x v="0"/>
    <x v="0"/>
    <n v="28"/>
    <s v="[{&quot;id&quot;:&quot;8a02a1ac-9efe-46ea-9649-fc635c7c8618&quot;,&quot;super_type&quot;:&quot;SUPERTYPE_UNSPECIFIED&quot;,&quot;total_offer_discount&quot;:28,&quot;discount_share&quot;:{&quot;swiggy_discount&quot;:0,&quot;store_discount&quot;:28,&quot;alliance_discount&quot;:0},&quot;discount_type&quot;:&quot;PERCENTAGE&quot;,&quot;description&quot;:&quot;10% off&quot;,&quot;fixed_charges&quot;:{&quot;gp&quot;:{&quot;id&quot;:&quot;&quot;,&quot;final_price&quot;:0}}}]"/>
    <s v="2024-05-07 19:02:12"/>
    <s v="2024-05-07 19:02:53"/>
    <s v="21191609"/>
    <s v="Delivered"/>
    <x v="10"/>
    <s v="534276"/>
    <s v="Naalnaad Mane"/>
    <s v="16,2ND FLOOR GOWRY'S BUILDING,ABOVE DOMINO'S,SY NO 13 OF AREKERE VILLAGE,BANNERGHATTA,BANGLAORE,jayanagar,B.B.M.PM south, karnataka - 560076"/>
    <x v="5"/>
    <s v="Bangalore"/>
    <x v="10"/>
    <x v="10"/>
    <n v="320"/>
    <n v="320"/>
    <n v="320"/>
    <n v="280"/>
    <n v="0"/>
    <s v="12.89009167,77.5976944"/>
    <x v="0"/>
    <n v="3.2"/>
    <x v="0"/>
    <s v="Arekere"/>
    <x v="0"/>
    <n v="0"/>
    <x v="0"/>
    <s v="Arekere"/>
    <s v="Naalnaad Mane"/>
    <s v="12.89009167"/>
    <s v="77.5976944"/>
  </r>
  <r>
    <n v="174037702433562"/>
    <x v="11"/>
    <x v="0"/>
    <x v="0"/>
    <x v="5"/>
    <n v="80"/>
    <s v="[{&quot;id&quot;:&quot;5c8d9a7d-f899-4dcc-998e-d3e0b2960661&quot;,&quot;super_type&quot;:&quot;SUPERTYPE_UNSPECIFIED&quot;,&quot;total_offer_discount&quot;:80,&quot;discount_share&quot;:{&quot;swiggy_discount&quot;:0,&quot;store_discount&quot;:80,&quot;alliance_discount&quot;:0},&quot;discount_type&quot;:&quot;PERCENTAGE&quot;,&quot;description&quot;:&quot;40% off&quot;,&quot;fixed_charges&quot;:{&quot;gp&quot;:{&quot;id&quot;:&quot;&quot;,&quot;final_price&quot;:0}}}]"/>
    <s v="2024-05-07 13:18:22"/>
    <s v="2024-05-07 13:18:44"/>
    <s v="21191609"/>
    <s v="Delivered"/>
    <x v="11"/>
    <s v="34363"/>
    <s v="Firangi Bake"/>
    <s v="Shop No.4, Frist Floor, NGK Complex, Tavarekere Main Rd, 1st Stage, BTM Layout, Bengaluru, Karnataka 560029 ( Above DMart Ready)"/>
    <x v="3"/>
    <s v="Bangalore"/>
    <x v="11"/>
    <x v="11"/>
    <n v="320"/>
    <n v="320"/>
    <n v="320"/>
    <n v="325"/>
    <n v="0"/>
    <s v="12.920219,77.610520"/>
    <x v="0"/>
    <n v="2.2000000000000002"/>
    <x v="0"/>
    <s v="BTM 1st Stage"/>
    <x v="0"/>
    <n v="0"/>
    <x v="0"/>
    <s v="BTM 1st Stage"/>
    <s v="Firangi Bake"/>
    <s v="12.920219"/>
    <s v="77.610520"/>
  </r>
  <r>
    <n v="174026206595017"/>
    <x v="3"/>
    <x v="1"/>
    <x v="0"/>
    <x v="0"/>
    <n v="23.9"/>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7 10:06:46"/>
    <s v="2024-05-07 10:07:00"/>
    <s v="21191609"/>
    <s v="Delivered"/>
    <x v="12"/>
    <s v="630473"/>
    <s v="Rasayan"/>
    <s v="652,13th cross,29th main road BTM 2nd stage,560078, Bangalore Karnataka"/>
    <x v="2"/>
    <s v="Bangalore"/>
    <x v="12"/>
    <x v="12"/>
    <n v="275"/>
    <n v="275"/>
    <n v="275"/>
    <n v="239"/>
    <n v="10"/>
    <s v="12.907799,77.613487"/>
    <x v="0"/>
    <n v="2.5"/>
    <x v="0"/>
    <s v="BTM 2nd Stage"/>
    <x v="1"/>
    <n v="0"/>
    <x v="0"/>
    <s v="BTM 2nd Stage"/>
    <s v="Rasayan"/>
    <s v="12.907799"/>
    <s v="77.613487"/>
  </r>
  <r>
    <n v="173972919485563"/>
    <x v="0"/>
    <x v="0"/>
    <x v="0"/>
    <x v="0"/>
    <n v="100"/>
    <s v="[{&quot;id&quot;:&quot;137a1aed-678a-41ce-ac11-088fcce35f29&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5-06 19:18:39"/>
    <s v="2024-05-06 19:19:03"/>
    <s v="21191609"/>
    <s v="Delivered"/>
    <x v="13"/>
    <s v="434304"/>
    <s v="Paris Panini - Gourmet Sandwiches &amp; Wraps"/>
    <s v="No.690/A, 14th Main, 100ft Road, JP Nagar 2nd Phase, Bangalore 560078."/>
    <x v="0"/>
    <s v="Bangalore"/>
    <x v="13"/>
    <x v="13"/>
    <n v="334"/>
    <n v="334"/>
    <n v="334"/>
    <n v="385"/>
    <n v="42"/>
    <s v="12.90649867,77.59165435"/>
    <x v="0"/>
    <n v="2.1"/>
    <x v="0"/>
    <s v="JP Nagar"/>
    <x v="0"/>
    <n v="0"/>
    <x v="0"/>
    <s v="JP Nagar"/>
    <s v="Paris Panini"/>
    <s v="12.90649867"/>
    <s v="77.59165435"/>
  </r>
  <r>
    <n v="173961191807457"/>
    <x v="12"/>
    <x v="0"/>
    <x v="1"/>
    <x v="1"/>
    <s v="NO OFFER"/>
    <s v="&quot;total_offer_discount&quot;:NO OFFER,"/>
    <s v="2024-05-06 16:03:12"/>
    <s v="2024-05-06 16:03:45"/>
    <s v="21191609"/>
    <s v="Delivered"/>
    <x v="14"/>
    <s v="694704"/>
    <s v="Love And Crumble"/>
    <s v="NO 307, LALEHZAR APARTMENTS PALACE ROAD SHIVAJINAGARA B.B.M.P EAST KARNATAKA"/>
    <x v="7"/>
    <s v="Bangalore"/>
    <x v="14"/>
    <x v="14"/>
    <n v="509"/>
    <n v="509"/>
    <n v="509"/>
    <n v="370"/>
    <n v="0"/>
    <s v="12.98505012,77.5880017"/>
    <x v="2"/>
    <n v="10.199999999999999"/>
    <x v="0"/>
    <s v="Malleshwaram"/>
    <x v="1"/>
    <n v="0"/>
    <x v="0"/>
    <s v="Malleshwaram"/>
    <s v="Love And Crumble"/>
    <s v="12.98505012"/>
    <s v="77.5880017"/>
  </r>
  <r>
    <n v="173953404362535"/>
    <x v="4"/>
    <x v="0"/>
    <x v="0"/>
    <x v="3"/>
    <n v="124.99"/>
    <s v="[{&quot;id&quot;:&quot;8ecc3140-454d-483f-810e-78be04d68af5&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06 13:53:24"/>
    <s v="2024-05-06 13:53:46"/>
    <s v="21191609"/>
    <s v="Delivered"/>
    <x v="15"/>
    <s v="34381"/>
    <s v="Firangi Bake"/>
    <s v="No 87/15/638/2 Nanjappa garden, Katha no - 1785/87/15/638/2, Arekere Village, begur hobali, Bangalore South taluk, Bangalore - 560076"/>
    <x v="8"/>
    <s v="Bangalore"/>
    <x v="15"/>
    <x v="15"/>
    <n v="556"/>
    <n v="556"/>
    <n v="556"/>
    <n v="624"/>
    <n v="48"/>
    <s v="12.885643,77.602120"/>
    <x v="0"/>
    <n v="3.4"/>
    <x v="0"/>
    <s v="Arekere"/>
    <x v="0"/>
    <n v="0"/>
    <x v="0"/>
    <s v="Arekere"/>
    <s v="Firangi Bake"/>
    <s v="12.885643"/>
    <s v="77.602120"/>
  </r>
  <r>
    <n v="173934793528823"/>
    <x v="3"/>
    <x v="1"/>
    <x v="0"/>
    <x v="0"/>
    <n v="23.9"/>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6 08:43:13"/>
    <s v="2024-05-06 08:43:38"/>
    <s v="21191609"/>
    <s v="Delivered"/>
    <x v="16"/>
    <s v="630473"/>
    <s v="Rasayan"/>
    <s v="652,13th cross,29th main road BTM 2nd stage,560078, Bangalore Karnataka"/>
    <x v="2"/>
    <s v="Bangalore"/>
    <x v="16"/>
    <x v="16"/>
    <n v="242"/>
    <n v="242"/>
    <n v="242"/>
    <n v="239"/>
    <n v="43"/>
    <s v="12.907799,77.613487"/>
    <x v="0"/>
    <n v="2.5"/>
    <x v="0"/>
    <s v="BTM 2nd Stage"/>
    <x v="0"/>
    <n v="0"/>
    <x v="0"/>
    <s v="BTM 2nd Stage"/>
    <s v="Rasayan"/>
    <s v="12.907799"/>
    <s v="77.613487"/>
  </r>
  <r>
    <n v="173886476249693"/>
    <x v="3"/>
    <x v="1"/>
    <x v="0"/>
    <x v="0"/>
    <n v="40"/>
    <s v="[{&quot;id&quot;:&quot;28bf3ebb-4a69-4a92-88a4-f491a5f86e17&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5-05 19:17:56"/>
    <s v="2024-05-05 19:18:22"/>
    <s v="21191609"/>
    <s v="Delivered"/>
    <x v="17"/>
    <s v="630473"/>
    <s v="Rasayan"/>
    <s v="652,13th cross,29th main road BTM 2nd stage,560078, Bangalore Karnataka"/>
    <x v="2"/>
    <s v="Bangalore"/>
    <x v="17"/>
    <x v="17"/>
    <n v="487"/>
    <n v="487"/>
    <n v="487"/>
    <n v="478"/>
    <n v="36"/>
    <s v="12.907799,77.613487"/>
    <x v="0"/>
    <n v="2.5"/>
    <x v="0"/>
    <s v="BTM 2nd Stage"/>
    <x v="1"/>
    <n v="0"/>
    <x v="0"/>
    <s v="BTM 2nd Stage"/>
    <s v="Rasayan"/>
    <s v="12.907799"/>
    <s v="77.613487"/>
  </r>
  <r>
    <n v="173848012476255"/>
    <x v="3"/>
    <x v="1"/>
    <x v="0"/>
    <x v="6"/>
    <n v="149.4"/>
    <s v="[{&quot;id&quot;:&quot;7b5f26f9-18b8-4c51-aed1-b1e142eba2ae&quot;,&quot;super_type&quot;:&quot;SUPERTYPE_UNSPECIFIED&quot;,&quot;total_offer_discount&quot;:149.4,&quot;discount_share&quot;:{&quot;swiggy_discount&quot;:0,&quot;store_discount&quot;:149.4,&quot;alliance_discount&quot;:0},&quot;discount_type&quot;:&quot;PERCENTAGE&quot;,&quot;description&quot;:&quot;30% off&quot;,&quot;fixed_charges&quot;:{&quot;gp&quot;:{&quot;id&quot;:&quot;&quot;,&quot;final_price&quot;:0}}}]"/>
    <s v="2024-05-05 08:36:52"/>
    <s v="2024-05-05 08:37:10"/>
    <s v="21191609"/>
    <s v="Delivered"/>
    <x v="18"/>
    <s v="630473"/>
    <s v="Rasayan"/>
    <s v="652,13th cross,29th main road BTM 2nd stage,560078, Bangalore Karnataka"/>
    <x v="2"/>
    <s v="Bangalore"/>
    <x v="18"/>
    <x v="18"/>
    <n v="392"/>
    <n v="392"/>
    <n v="392"/>
    <n v="498"/>
    <n v="43"/>
    <s v="12.907799,77.613487"/>
    <x v="0"/>
    <n v="2.5"/>
    <x v="0"/>
    <s v="BTM 2nd Stage"/>
    <x v="0"/>
    <n v="0"/>
    <x v="0"/>
    <s v="BTM 2nd Stage"/>
    <s v="Rasayan"/>
    <s v="12.907799"/>
    <s v="77.613487"/>
  </r>
  <r>
    <n v="173787961265182"/>
    <x v="13"/>
    <x v="1"/>
    <x v="0"/>
    <x v="5"/>
    <n v="44.99"/>
    <s v="[{&quot;id&quot;:&quot;903b3cd1-104b-4bdd-94d3-96daaea1a80b&quot;,&quot;super_type&quot;:&quot;SUPERTYPE_UNSPECIFIED&quot;,&quot;total_offer_discount&quot;:44.99,&quot;discount_share&quot;:{&quot;swiggy_discount&quot;:0,&quot;store_discount&quot;:44.99,&quot;alliance_discount&quot;:0},&quot;discount_type&quot;:&quot;PERCENTAGE&quot;,&quot;description&quot;:&quot;15% off&quot;,&quot;fixed_charges&quot;:{&quot;gp&quot;:{&quot;id&quot;:&quot;&quot;,&quot;final_price&quot;:0}}}]"/>
    <s v="2024-05-04 15:56:01"/>
    <s v="2024-05-04 15:56:19"/>
    <s v="21191609"/>
    <s v="Delivered"/>
    <x v="19"/>
    <s v="534276"/>
    <s v="Naalnaad Mane"/>
    <s v="16,2ND FLOOR GOWRY'S BUILDING,ABOVE DOMINO'S,SY NO 13 OF AREKERE VILLAGE,BANNERGHATTA,BANGLAORE,jayanagar,B.B.M.PM south, karnataka - 560076"/>
    <x v="5"/>
    <s v="Bangalore"/>
    <x v="19"/>
    <x v="19"/>
    <n v="680"/>
    <n v="680"/>
    <n v="680"/>
    <n v="660"/>
    <n v="33"/>
    <s v="12.89009167,77.5976944"/>
    <x v="0"/>
    <n v="2.7"/>
    <x v="0"/>
    <s v="Arekere"/>
    <x v="1"/>
    <n v="0"/>
    <x v="0"/>
    <s v="Arekere"/>
    <s v="Naalnaad Mane"/>
    <s v="12.89009167"/>
    <s v="77.5976944"/>
  </r>
  <r>
    <n v="173627120783219"/>
    <x v="14"/>
    <x v="0"/>
    <x v="0"/>
    <x v="2"/>
    <n v="60"/>
    <s v="[{&quot;id&quot;:&quot;bcdcaa8c-6d73-46c7-af56-3b6dc93e207a&quot;,&quot;super_type&quot;:&quot;SUPERTYPE_UNSPECIFIED&quot;,&quot;total_offer_discount&quot;:60,&quot;discount_share&quot;:{&quot;swiggy_discount&quot;:12,&quot;store_discount&quot;:48,&quot;alliance_discount&quot;:0},&quot;discount_type&quot;:&quot;PERCENTAGE&quot;,&quot;description&quot;:&quot;30% off&quot;,&quot;fixed_charges&quot;:{&quot;gp&quot;:{&quot;id&quot;:&quot;&quot;,&quot;final_price&quot;:0}}}]"/>
    <s v="2024-05-02 19:15:20"/>
    <s v="2024-05-02 19:15:26"/>
    <s v="21191609"/>
    <s v="Delivered"/>
    <x v="20"/>
    <s v="35953"/>
    <s v="Homely"/>
    <s v="No. 135/14, 100ft Ring Road, 15th Cross, J.P.Nagar, 3rd Phase, Bengaluru.560076"/>
    <x v="9"/>
    <s v="Bangalore"/>
    <x v="20"/>
    <x v="20"/>
    <n v="214"/>
    <n v="214"/>
    <n v="214"/>
    <n v="239"/>
    <n v="54"/>
    <s v="12.906291,77.596256"/>
    <x v="3"/>
    <n v="1.6"/>
    <x v="1"/>
    <s v="JP Nagar"/>
    <x v="1"/>
    <n v="2"/>
    <x v="0"/>
    <s v="JP Nagar"/>
    <s v="Homely"/>
    <s v="12.906291"/>
    <s v="77.596256"/>
  </r>
  <r>
    <n v="173528899495632"/>
    <x v="15"/>
    <x v="1"/>
    <x v="0"/>
    <x v="5"/>
    <n v="99.99"/>
    <s v="[{&quot;id&quot;:&quot;6efa58fe-50e0-4c94-aadd-f2cf8ce25c67&quot;,&quot;super_type&quot;:&quot;SUPERTYPE_UNSPECIFIED&quot;,&quot;total_offer_discount&quot;:99.99000000000001,&quot;discount_share&quot;:{&quot;swiggy_discount&quot;:47.99,&quot;store_discount&quot;:52,&quot;alliance_discount&quot;:0},&quot;discount_type&quot;:&quot;PERCENTAGE&quot;,&quot;description&quot;:&quot;50% off&quot;,&quot;fixed_charges&quot;:{&quot;gp&quot;:{&quot;id&quot;:&quot;&quot;,&quot;final_price&quot;:0}}}]"/>
    <s v="2024-05-01 15:58:19"/>
    <s v="2024-05-01 15:58:57"/>
    <s v="21191609"/>
    <s v="Delivered"/>
    <x v="21"/>
    <s v="434304"/>
    <s v="Paris Panini - Gourmet Sandwiches &amp; Wraps"/>
    <s v="No.690/A, 14th Main, 100ft Road, JP Nagar 2nd Phase, Bangalore 560078."/>
    <x v="0"/>
    <s v="Bangalore"/>
    <x v="21"/>
    <x v="21"/>
    <n v="696"/>
    <n v="696"/>
    <n v="696"/>
    <n v="680"/>
    <n v="36"/>
    <s v="12.90649867,77.59165435"/>
    <x v="0"/>
    <n v="2.1"/>
    <x v="0"/>
    <s v="JP Nagar"/>
    <x v="0"/>
    <n v="0"/>
    <x v="0"/>
    <s v="JP Nagar"/>
    <s v="Paris Panini"/>
    <s v="12.90649867"/>
    <s v="77.59165435"/>
  </r>
  <r>
    <n v="173508364352211"/>
    <x v="16"/>
    <x v="1"/>
    <x v="0"/>
    <x v="6"/>
    <n v="148.80000000000001"/>
    <s v="[{&quot;id&quot;:&quot;7b5f26f9-18b8-4c51-aed1-b1e142eba2ae&quot;,&quot;super_type&quot;:&quot;SUPERTYPE_UNSPECIFIED&quot;,&quot;total_offer_discount&quot;:148.8,&quot;discount_share&quot;:{&quot;swiggy_discount&quot;:0,&quot;store_discount&quot;:148.8,&quot;alliance_discount&quot;:0},&quot;discount_type&quot;:&quot;PERCENTAGE&quot;,&quot;description&quot;:&quot;30% off&quot;,&quot;fixed_charges&quot;:{&quot;gp&quot;:{&quot;id&quot;:&quot;&quot;,&quot;final_price&quot;:0}}}]"/>
    <s v="2024-05-01 10:16:04"/>
    <s v="2024-05-01 10:16:24"/>
    <s v="21191609"/>
    <s v="Delivered"/>
    <x v="22"/>
    <s v="630473"/>
    <s v="Rasayan"/>
    <s v="652,13th cross,29th main road BTM 2nd stage,560078, Bangalore Karnataka"/>
    <x v="2"/>
    <s v="Bangalore"/>
    <x v="22"/>
    <x v="22"/>
    <n v="399"/>
    <n v="399"/>
    <n v="399"/>
    <n v="496"/>
    <n v="43"/>
    <s v="12.907799,77.613487"/>
    <x v="0"/>
    <n v="2.5"/>
    <x v="0"/>
    <s v="BTM 2nd Stage"/>
    <x v="0"/>
    <n v="0"/>
    <x v="0"/>
    <s v="BTM 2nd Stage"/>
    <s v="Rasayan"/>
    <s v="12.907799"/>
    <s v="77.613487"/>
  </r>
  <r>
    <n v="173162395766364"/>
    <x v="17"/>
    <x v="1"/>
    <x v="0"/>
    <x v="6"/>
    <n v="149.99"/>
    <s v="[{&quot;id&quot;:&quot;7b5f26f9-18b8-4c51-aed1-b1e142eba2ae&quot;,&quot;super_type&quot;:&quot;SUPERTYPE_UNSPECIFIED&quot;,&quot;total_offer_discount&quot;:149.99,&quot;discount_share&quot;:{&quot;swiggy_discount&quot;:0,&quot;store_discount&quot;:149.99,&quot;alliance_discount&quot;:0},&quot;discount_type&quot;:&quot;PERCENTAGE&quot;,&quot;description&quot;:&quot;30% off&quot;,&quot;fixed_charges&quot;:{&quot;gp&quot;:{&quot;id&quot;:&quot;&quot;,&quot;final_price&quot;:0}}}]"/>
    <s v="2024-04-27 10:09:55"/>
    <s v="2024-04-27 10:10:09"/>
    <s v="21191609"/>
    <s v="Delivered"/>
    <x v="23"/>
    <s v="630473"/>
    <s v="Rasayan"/>
    <s v="652,13th cross,29th main road BTM 2nd stage,560078, Bangalore Karnataka"/>
    <x v="2"/>
    <s v="Bangalore"/>
    <x v="23"/>
    <x v="23"/>
    <n v="489"/>
    <n v="489"/>
    <n v="489"/>
    <n v="580"/>
    <n v="43"/>
    <s v="12.907799,77.613487"/>
    <x v="0"/>
    <n v="2.5"/>
    <x v="0"/>
    <s v="BTM 2nd Stage"/>
    <x v="0"/>
    <n v="0"/>
    <x v="1"/>
    <s v="BTM 2nd Stage"/>
    <s v="Rasayan"/>
    <s v="12.907799"/>
    <s v="77.613487"/>
  </r>
  <r>
    <n v="173162271836174"/>
    <x v="18"/>
    <x v="1"/>
    <x v="1"/>
    <x v="1"/>
    <s v="NO OFFER"/>
    <s v="&quot;total_offer_discount&quot;:NO OFFER,"/>
    <s v="2024-04-27 10:07:51"/>
    <s v="2024-04-27 10:08:09"/>
    <s v="21191609"/>
    <s v="cancelled"/>
    <x v="24"/>
    <s v="630473"/>
    <s v="Rasayan"/>
    <s v="652,13th cross,29th main road BTM 2nd stage,560078, Bangalore Karnataka"/>
    <x v="2"/>
    <s v="Bangalore"/>
    <x v="24"/>
    <x v="24"/>
    <n v="646"/>
    <n v="646"/>
    <n v="646"/>
    <n v="580"/>
    <n v="43"/>
    <s v="12.907799,77.613487"/>
    <x v="3"/>
    <n v="1.9"/>
    <x v="0"/>
    <s v="BTM 2nd Stage"/>
    <x v="0"/>
    <n v="0"/>
    <x v="1"/>
    <s v="BTM 2nd Stage"/>
    <s v="Rasayan"/>
    <s v="12.907799"/>
    <s v="77.613487"/>
  </r>
  <r>
    <n v="173021459533483"/>
    <x v="19"/>
    <x v="0"/>
    <x v="0"/>
    <x v="5"/>
    <n v="75"/>
    <s v="[{&quot;id&quot;:&quot;f90d8119-321f-4158-a454-d7576a8e0a65&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4-25 19:00:59"/>
    <s v="2024-04-25 19:01:33"/>
    <s v="21191609"/>
    <s v="Delivered"/>
    <x v="25"/>
    <s v="260968"/>
    <s v="Chowman"/>
    <s v="SAI DURGA ENCLAVE, KATHA NO 1099, AND NO 833/1, GROUND FLOOR, BELLENDUR VILLAGE, VARTHUR HOBLI, BANGALORE, Mahadevapura , B.B.M.P East, Karnataka-560037"/>
    <x v="10"/>
    <s v="Bangalore"/>
    <x v="25"/>
    <x v="25"/>
    <n v="208"/>
    <n v="208"/>
    <n v="208"/>
    <n v="260"/>
    <n v="40"/>
    <s v="12.92314229,77.6713331"/>
    <x v="0"/>
    <n v="3.3"/>
    <x v="0"/>
    <s v="Bellandur"/>
    <x v="1"/>
    <n v="0"/>
    <x v="1"/>
    <s v="Bellandur"/>
    <s v="Chowman"/>
    <s v="12.92314229"/>
    <s v="77.6713331"/>
  </r>
  <r>
    <n v="172937451496694"/>
    <x v="20"/>
    <x v="0"/>
    <x v="0"/>
    <x v="2"/>
    <n v="100"/>
    <s v="[{&quot;id&quot;:&quot;12337c67-3996-4380-afdd-b7cf7e3de7a3&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4-24 19:40:51"/>
    <s v="2024-04-24 19:41:11"/>
    <s v="21191609"/>
    <s v="Delivered"/>
    <x v="26"/>
    <s v="742267"/>
    <s v="Paris Panini - Gourmet Sandwiches &amp; Wraps"/>
    <s v="Counter No. 23, 24 &amp; 33, No. 53/2,  Doddakannelli Village, Varthur Hobli,  Bangalore, Mahadevapura , B.B.M.P East,  Karnataka-560038"/>
    <x v="11"/>
    <s v="Bangalore"/>
    <x v="26"/>
    <x v="26"/>
    <n v="344"/>
    <n v="344"/>
    <n v="344"/>
    <n v="395"/>
    <n v="61"/>
    <s v="12.90906249,77.68766132"/>
    <x v="1"/>
    <n v="5.4"/>
    <x v="0"/>
    <s v="Bellandur Sarjapur"/>
    <x v="1"/>
    <n v="0"/>
    <x v="1"/>
    <s v="Bellandur Sarjapur"/>
    <s v="Paris Panini"/>
    <s v="12.90906249"/>
    <s v="77.68766132"/>
  </r>
  <r>
    <n v="172865582370674"/>
    <x v="21"/>
    <x v="1"/>
    <x v="0"/>
    <x v="0"/>
    <n v="50"/>
    <s v="[{&quot;id&quot;:&quot;a95119de-61b8-489b-ad8b-1cf7a5d62a5e&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4-04-23 23:43:02"/>
    <s v="2024-04-23 23:43:23"/>
    <s v="21191609"/>
    <s v="Delivered"/>
    <x v="27"/>
    <s v="29349"/>
    <s v="Frozen Bottle - Milkshakes, Desserts And Ice Cream"/>
    <s v="88, Celler Floor, 17th Cross, 14th main, Sector - 4, HSR, Bangalore"/>
    <x v="12"/>
    <s v="Bangalore"/>
    <x v="27"/>
    <x v="27"/>
    <n v="301"/>
    <n v="301"/>
    <n v="301"/>
    <n v="289"/>
    <n v="50"/>
    <s v="12.91233118,77.63839138"/>
    <x v="3"/>
    <n v="1.7"/>
    <x v="0"/>
    <s v="HSR Layout"/>
    <x v="1"/>
    <n v="0"/>
    <x v="1"/>
    <s v="HSR Layout"/>
    <s v="Frozen Bottle"/>
    <s v="12.91233118"/>
    <s v="77.63839138"/>
  </r>
  <r>
    <n v="172849812190412"/>
    <x v="4"/>
    <x v="0"/>
    <x v="0"/>
    <x v="5"/>
    <n v="60"/>
    <s v="[{&quot;id&quot;:&quot;768dad50-eef1-40d7-bfd4-5327ee71bb5a&quot;,&quot;super_type&quot;:&quot;SUPERTYPE_UNSPECIFIED&quot;,&quot;total_offer_discount&quot;:60,&quot;discount_share&quot;:{&quot;swiggy_discount&quot;:0,&quot;store_discount&quot;:60,&quot;alliance_discount&quot;:0},&quot;discount_type&quot;:&quot;PERCENTAGE&quot;,&quot;description&quot;:&quot;30% off&quot;,&quot;fixed_charges&quot;:{&quot;gp&quot;:{&quot;id&quot;:&quot;&quot;,&quot;final_price&quot;:0}}}]"/>
    <s v="2024-04-23 19:20:12"/>
    <s v="2024-04-23 19:20:29"/>
    <s v="21191609"/>
    <s v="Delivered"/>
    <x v="28"/>
    <s v="34366"/>
    <s v="Firangi Bake"/>
    <s v="SHOP NO 2318,HSR LAYOUT SECTOR ONE,NEAR NIFT COLLEGE,BANGALORE"/>
    <x v="13"/>
    <s v="Bangalore"/>
    <x v="28"/>
    <x v="28"/>
    <n v="310"/>
    <n v="310"/>
    <n v="310"/>
    <n v="325"/>
    <n v="35"/>
    <s v="12.912101,77.65163400000006"/>
    <x v="3"/>
    <n v="0.8"/>
    <x v="0"/>
    <s v="HSR Layout"/>
    <x v="0"/>
    <n v="0"/>
    <x v="1"/>
    <s v="HSR Layout"/>
    <s v="Firangi Bake"/>
    <s v="12.912101"/>
    <s v="77.65163400000006"/>
  </r>
  <r>
    <n v="172765721740638"/>
    <x v="22"/>
    <x v="0"/>
    <x v="0"/>
    <x v="4"/>
    <n v="150"/>
    <s v="[{&quot;id&quot;:&quot;24ecd13d-e27f-4858-9c2a-bdc2b708cce4&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22 19:58:41"/>
    <s v="2024-04-22 19:59:12"/>
    <s v="21191609"/>
    <s v="Delivered"/>
    <x v="29"/>
    <s v="17036"/>
    <s v="Leon's - Burgers &amp; Wings (Leon Grill)"/>
    <s v="No.17, Ground Floor, 18th Cross Road, 3rd Sector, HSR Layout, Bangalore."/>
    <x v="12"/>
    <s v="Bangalore"/>
    <x v="29"/>
    <x v="29"/>
    <n v="724"/>
    <n v="724"/>
    <n v="724"/>
    <n v="797.57"/>
    <n v="35"/>
    <s v="12.91181131,77.64374963"/>
    <x v="3"/>
    <n v="1.6"/>
    <x v="0"/>
    <s v="HSR Layout"/>
    <x v="0"/>
    <n v="0"/>
    <x v="1"/>
    <s v="HSR Layout"/>
    <s v="Leon's"/>
    <s v="12.91181131"/>
    <s v="77.64374963"/>
  </r>
  <r>
    <n v="172415621290914"/>
    <x v="23"/>
    <x v="0"/>
    <x v="0"/>
    <x v="4"/>
    <n v="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18 18:43:41"/>
    <s v="2024-04-18 18:44:05"/>
    <s v="21191609"/>
    <s v="Delivered"/>
    <x v="30"/>
    <s v="17036"/>
    <s v="Leon's - Burgers &amp; Wings (Leon Grill)"/>
    <s v="No.17, Ground Floor, 18th Cross Road, 3rd Sector, HSR Layout, Bangalore."/>
    <x v="12"/>
    <s v="Bangalore"/>
    <x v="30"/>
    <x v="30"/>
    <n v="252"/>
    <n v="252"/>
    <n v="252"/>
    <n v="349"/>
    <n v="31"/>
    <s v="12.91181131,77.64374963"/>
    <x v="3"/>
    <n v="0.9"/>
    <x v="0"/>
    <s v="HSR Layout"/>
    <x v="1"/>
    <n v="0"/>
    <x v="1"/>
    <s v="HSR Layout"/>
    <s v="Leon's"/>
    <s v="12.91181131"/>
    <s v="77.64374963"/>
  </r>
  <r>
    <n v="171120236353593"/>
    <x v="23"/>
    <x v="0"/>
    <x v="0"/>
    <x v="4"/>
    <n v="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3 18:53:56"/>
    <s v="2024-04-03 18:54:20"/>
    <s v="21191609"/>
    <s v="Delivered"/>
    <x v="31"/>
    <s v="17036"/>
    <s v="Leon's - Burgers &amp; Wings (Leon Grill)"/>
    <s v="No.17, Ground Floor, 18th Cross Road, 3rd Sector, HSR Layout, Bangalore."/>
    <x v="12"/>
    <s v="Bangalore"/>
    <x v="31"/>
    <x v="31"/>
    <n v="252"/>
    <n v="252"/>
    <n v="252"/>
    <n v="349"/>
    <n v="29"/>
    <s v="12.91181131,77.64374963"/>
    <x v="3"/>
    <n v="0.2"/>
    <x v="0"/>
    <s v="HSR Layout"/>
    <x v="1"/>
    <n v="0"/>
    <x v="1"/>
    <s v="HSR Layout"/>
    <s v="Leon's"/>
    <s v="12.91181131"/>
    <s v="77.64374963"/>
  </r>
  <r>
    <n v="170949181342493"/>
    <x v="23"/>
    <x v="0"/>
    <x v="0"/>
    <x v="4"/>
    <n v="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1 19:23:01"/>
    <s v="2024-04-01 19:23:06"/>
    <s v="21191609"/>
    <s v="Delivered"/>
    <x v="32"/>
    <s v="17036"/>
    <s v="Leon's - Burgers &amp; Wings (Leon Grill)"/>
    <s v="No.17, Ground Floor, 18th Cross Road, 3rd Sector, HSR Layout, Bangalore."/>
    <x v="12"/>
    <s v="Bangalore"/>
    <x v="32"/>
    <x v="32"/>
    <n v="252"/>
    <n v="252"/>
    <n v="252"/>
    <n v="349"/>
    <n v="34"/>
    <s v="12.91181131,77.64374963"/>
    <x v="3"/>
    <n v="1.6"/>
    <x v="1"/>
    <s v="HSR Layout"/>
    <x v="0"/>
    <n v="0"/>
    <x v="1"/>
    <s v="HSR Layout"/>
    <s v="Leon's"/>
    <s v="12.91181131"/>
    <s v="77.64374963"/>
  </r>
  <r>
    <n v="170849767634192"/>
    <x v="23"/>
    <x v="0"/>
    <x v="0"/>
    <x v="4"/>
    <n v="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3-31 15:46:07"/>
    <s v="2024-03-31 15:46:25"/>
    <s v="21191609"/>
    <s v="Delivered"/>
    <x v="33"/>
    <s v="17036"/>
    <s v="Leon's - Burgers &amp; Wings (Leon Grill)"/>
    <s v="No.17, Ground Floor, 18th Cross Road, 3rd Sector, HSR Layout, Bangalore."/>
    <x v="12"/>
    <s v="Bangalore"/>
    <x v="33"/>
    <x v="33"/>
    <n v="252"/>
    <n v="252"/>
    <n v="252"/>
    <n v="349"/>
    <n v="30"/>
    <s v="12.91181131,77.64374963"/>
    <x v="3"/>
    <n v="1.6"/>
    <x v="0"/>
    <s v="HSR Layout"/>
    <x v="1"/>
    <n v="0"/>
    <x v="2"/>
    <s v="HSR Layout"/>
    <s v="Leon's"/>
    <s v="12.91181131"/>
    <s v="77.64374963"/>
  </r>
  <r>
    <n v="170326417874188"/>
    <x v="24"/>
    <x v="0"/>
    <x v="0"/>
    <x v="0"/>
    <n v="80"/>
    <s v="[{&quot;id&quot;:&quot;16ef3f62-96d1-48fa-977b-3851da22b190&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25 14:23:37"/>
    <s v="2024-03-25 14:23:54"/>
    <s v="21191609"/>
    <s v="Delivered"/>
    <x v="34"/>
    <s v="2675"/>
    <s v="Subway"/>
    <s v="36, 3rd Store, 7th Sector, 14th main, HSR Layout"/>
    <x v="6"/>
    <s v="Bangalore"/>
    <x v="34"/>
    <x v="34"/>
    <n v="252"/>
    <n v="252"/>
    <n v="252"/>
    <n v="300"/>
    <n v="32"/>
    <s v="12.9118135,77.637958"/>
    <x v="3"/>
    <n v="0.6"/>
    <x v="0"/>
    <s v="HSR Layout"/>
    <x v="1"/>
    <n v="0"/>
    <x v="2"/>
    <s v="HSR Layout"/>
    <s v="Subway"/>
    <s v="12.9118135"/>
    <s v="77.637958"/>
  </r>
  <r>
    <n v="169997934599848"/>
    <x v="24"/>
    <x v="0"/>
    <x v="0"/>
    <x v="7"/>
    <n v="99.99"/>
    <s v="[{&quot;id&quot;:&quot;20f94987-8858-4c7d-bf7b-c2ff8a327fa8&quot;,&quot;super_type&quot;:&quot;SUPERTYPE_UNSPECIFIED&quot;,&quot;total_offer_discount&quot;:99.99,&quot;discount_share&quot;:{&quot;swiggy_discount&quot;:0,&quot;store_discount&quot;:99.99,&quot;alliance_discount&quot;:0},&quot;discount_type&quot;:&quot;FLAT&quot;,&quot;description&quot;:&quot;FLAT100 off&quot;,&quot;fixed_charges&quot;:{&quot;gp&quot;:{&quot;id&quot;:&quot;&quot;,&quot;final_price&quot;:0}}}]"/>
    <s v="2024-03-21 19:08:54"/>
    <s v="2024-03-21 19:09:08"/>
    <s v="21191609"/>
    <s v="Delivered"/>
    <x v="35"/>
    <s v="2675"/>
    <s v="Subway"/>
    <s v="36, 3rd Store, 7th Sector, 14th main, HSR Layout"/>
    <x v="6"/>
    <s v="Bangalore"/>
    <x v="35"/>
    <x v="35"/>
    <n v="596"/>
    <n v="596"/>
    <n v="596"/>
    <n v="649"/>
    <n v="34"/>
    <s v="12.9118135,77.637958"/>
    <x v="3"/>
    <n v="1.9"/>
    <x v="0"/>
    <s v="HSR Layout"/>
    <x v="0"/>
    <n v="0"/>
    <x v="2"/>
    <s v="HSR Layout"/>
    <s v="Subway"/>
    <s v="12.9118135"/>
    <s v="77.637958"/>
  </r>
  <r>
    <n v="169054716176265"/>
    <x v="24"/>
    <x v="0"/>
    <x v="0"/>
    <x v="0"/>
    <n v="80"/>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10 21:08:36"/>
    <s v="2024-03-10 21:09:03"/>
    <s v="21191609"/>
    <s v="Delivered"/>
    <x v="36"/>
    <s v="2675"/>
    <s v="Subway"/>
    <s v="36, 3rd Store, 7th Sector, 14th main, HSR Layout"/>
    <x v="6"/>
    <s v="Bangalore"/>
    <x v="36"/>
    <x v="36"/>
    <n v="251"/>
    <n v="251"/>
    <n v="251"/>
    <n v="300"/>
    <n v="57"/>
    <s v="12.9118135,77.637958"/>
    <x v="3"/>
    <n v="1.9"/>
    <x v="0"/>
    <s v="HSR Layout"/>
    <x v="0"/>
    <n v="0"/>
    <x v="2"/>
    <s v="HSR Layout"/>
    <s v="Subway"/>
    <s v="12.9118135"/>
    <s v="77.637958"/>
  </r>
  <r>
    <n v="168959031219038"/>
    <x v="25"/>
    <x v="0"/>
    <x v="0"/>
    <x v="0"/>
    <n v="80"/>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9 18:33:51"/>
    <s v="2024-03-09 18:34:15"/>
    <s v="21191609"/>
    <s v="Delivered"/>
    <x v="37"/>
    <s v="2675"/>
    <s v="Subway"/>
    <s v="36, 3rd Store, 7th Sector, 14th main, HSR Layout"/>
    <x v="6"/>
    <s v="Bangalore"/>
    <x v="37"/>
    <x v="37"/>
    <n v="302"/>
    <n v="302"/>
    <n v="302"/>
    <n v="349"/>
    <n v="32"/>
    <s v="12.9118135,77.637958"/>
    <x v="3"/>
    <n v="1.9"/>
    <x v="0"/>
    <s v="HSR Layout"/>
    <x v="1"/>
    <n v="0"/>
    <x v="2"/>
    <s v="HSR Layout"/>
    <s v="Subway"/>
    <s v="12.9118135"/>
    <s v="77.637958"/>
  </r>
  <r>
    <n v="168877172918547"/>
    <x v="26"/>
    <x v="0"/>
    <x v="1"/>
    <x v="1"/>
    <s v="NO OFFER"/>
    <s v="&quot;total_offer_discount&quot;:NO OFFER,"/>
    <s v="2024-03-08 19:49:32"/>
    <s v="2024-03-08 19:49:59"/>
    <s v="21191609"/>
    <s v="Delivered"/>
    <x v="38"/>
    <s v="464830"/>
    <s v="Bowl Soul"/>
    <s v="No 526/A,Ganesh Complex,Ground floor,18th Main Road,HSR 3rd sector,Bangalore:560102"/>
    <x v="14"/>
    <s v="Bangalore"/>
    <x v="38"/>
    <x v="38"/>
    <n v="154"/>
    <n v="154"/>
    <n v="154"/>
    <n v="249"/>
    <n v="36"/>
    <s v="12.9054065,77.64410799999996"/>
    <x v="3"/>
    <n v="1.8"/>
    <x v="0"/>
    <s v="HSR Layout"/>
    <x v="0"/>
    <n v="0"/>
    <x v="2"/>
    <s v="HSR Layout"/>
    <s v="Bowl Soul"/>
    <s v="12.9054065"/>
    <s v="77.64410799999996"/>
  </r>
  <r>
    <n v="168622214022977"/>
    <x v="25"/>
    <x v="0"/>
    <x v="0"/>
    <x v="0"/>
    <n v="80"/>
    <s v="[{&quot;id&quot;:&quot;68fb12f6-cd47-465f-8695-896e48e6c41d&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5 21:00:14"/>
    <s v="2024-03-05 21:00:40"/>
    <s v="21191609"/>
    <s v="Delivered"/>
    <x v="39"/>
    <s v="2675"/>
    <s v="Subway"/>
    <s v="36, 3rd Store, 7th Sector, 14th main, HSR Layout"/>
    <x v="6"/>
    <s v="Bangalore"/>
    <x v="39"/>
    <x v="39"/>
    <n v="302"/>
    <n v="302"/>
    <n v="302"/>
    <n v="349"/>
    <n v="36"/>
    <s v="12.9118135,77.637958"/>
    <x v="3"/>
    <n v="1.7"/>
    <x v="0"/>
    <s v="HSR Layout"/>
    <x v="1"/>
    <n v="0"/>
    <x v="2"/>
    <s v="HSR Layout"/>
    <s v="Subway"/>
    <s v="12.9118135"/>
    <s v="77.637958"/>
  </r>
  <r>
    <n v="168513609258675"/>
    <x v="27"/>
    <x v="0"/>
    <x v="1"/>
    <x v="1"/>
    <s v="NO OFFER"/>
    <s v="&quot;total_offer_discount&quot;:NO OFFER,"/>
    <s v="2024-03-04 14:50:09"/>
    <s v="2024-03-04 14:50:43"/>
    <s v="21191609"/>
    <s v="Delivered"/>
    <x v="40"/>
    <s v="18973"/>
    <s v="Nandhana Palace"/>
    <s v="Koramangala, 7, Mahakavi Vemana Rd, KHB Block Koramangala, Koramangala 4-B Block, Koramangala, Bengaluru, Karnataka 560034"/>
    <x v="15"/>
    <s v="Bangalore"/>
    <x v="40"/>
    <x v="40"/>
    <n v="537"/>
    <n v="537"/>
    <n v="537"/>
    <n v="525"/>
    <n v="44"/>
    <s v="12.93171741,77.6229908"/>
    <x v="0"/>
    <n v="4.8"/>
    <x v="0"/>
    <s v="Koramangala"/>
    <x v="0"/>
    <n v="0"/>
    <x v="2"/>
    <s v="Koramangala"/>
    <s v="Nandhana Palace"/>
    <s v="12.93171741"/>
    <s v="77.6229908"/>
  </r>
  <r>
    <n v="168438354785516"/>
    <x v="5"/>
    <x v="1"/>
    <x v="1"/>
    <x v="1"/>
    <s v="NO OFFER"/>
    <s v="&quot;total_offer_discount&quot;:NO OFFER,"/>
    <s v="2024-03-03 17:55:54"/>
    <s v="2024-03-03 17:56:20"/>
    <s v="21191609"/>
    <s v="Delivered"/>
    <x v="41"/>
    <s v="254655"/>
    <s v="Daily Sushi"/>
    <s v="No.1212, SBM Fortune, 4th Floor, 22nd Cross Road, 14th Main Rd, 3rd Sector, HSR Layout, Bengaluru, Karnataka 560102, India"/>
    <x v="14"/>
    <s v="Bangalore"/>
    <x v="41"/>
    <x v="41"/>
    <n v="466"/>
    <n v="466"/>
    <n v="466"/>
    <n v="400"/>
    <n v="39"/>
    <s v="12.90942041,77.63866215"/>
    <x v="0"/>
    <n v="2.1"/>
    <x v="0"/>
    <s v="HSR Layout"/>
    <x v="1"/>
    <n v="0"/>
    <x v="2"/>
    <s v="HSR Layout"/>
    <s v="Daily Sushi"/>
    <s v="12.90942041"/>
    <s v="77.63866215"/>
  </r>
  <r>
    <n v="168293863851738"/>
    <x v="28"/>
    <x v="1"/>
    <x v="1"/>
    <x v="1"/>
    <s v="NO OFFER"/>
    <s v="&quot;total_offer_discount&quot;:NO OFFER,"/>
    <s v="2024-03-02 01:47:43"/>
    <s v="2024-03-02 01:49:00"/>
    <s v="21191609"/>
    <s v="Delivered"/>
    <x v="42"/>
    <s v="621134"/>
    <s v="Sundae Everyday Ice Creams"/>
    <s v="Bharadwaj Ventures No.2007,Next to Park Villa, Behind Amul Parlour, Near Venkateshwara College, Vidya Nagar, Bengaluru North 562157, Bangalore North, Bangalore Urban, Karnataka-562157"/>
    <x v="16"/>
    <s v="Bangalore"/>
    <x v="42"/>
    <x v="42"/>
    <n v="568"/>
    <n v="568"/>
    <n v="568"/>
    <n v="518"/>
    <n v="67"/>
    <s v="13.16024,77.6351"/>
    <x v="1"/>
    <n v="5.0999999999999996"/>
    <x v="0"/>
    <s v="Yelahanka"/>
    <x v="1"/>
    <n v="0"/>
    <x v="2"/>
    <s v="Yelahanka"/>
    <s v="Sundae Everyday Ice Creams"/>
    <s v="13.16024"/>
    <s v="77.6351"/>
  </r>
  <r>
    <n v="168028113662672"/>
    <x v="29"/>
    <x v="0"/>
    <x v="0"/>
    <x v="0"/>
    <n v="20.9"/>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7 23:58:33"/>
    <s v="2024-02-27 23:58:54"/>
    <s v="21191609"/>
    <s v="Delivered"/>
    <x v="43"/>
    <s v="647582"/>
    <s v="Smoky Docky"/>
    <s v="130, 17th H Main Rd, KHB Colony, M.I.G, 5th Block, Koramangala, Bengaluru, Karnataka 560095, India"/>
    <x v="15"/>
    <s v="Bangalore"/>
    <x v="43"/>
    <x v="43"/>
    <n v="212"/>
    <n v="212"/>
    <n v="212"/>
    <n v="209"/>
    <n v="66"/>
    <s v="12.934678,77.616812"/>
    <x v="1"/>
    <n v="5.9"/>
    <x v="0"/>
    <s v="Koramangala"/>
    <x v="1"/>
    <n v="0"/>
    <x v="3"/>
    <s v="Koramangala"/>
    <s v="Smoky Docky"/>
    <s v="12.934678"/>
    <s v="77.616812"/>
  </r>
  <r>
    <n v="168013539245633"/>
    <x v="25"/>
    <x v="0"/>
    <x v="0"/>
    <x v="0"/>
    <n v="75"/>
    <s v="[{&quot;id&quot;:&quot;5ba597b1-287c-4335-9317-451a632f4519&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2-27 19:55:39"/>
    <s v="2024-02-27 19:56:01"/>
    <s v="21191609"/>
    <s v="Delivered"/>
    <x v="44"/>
    <s v="656392"/>
    <s v="Subway"/>
    <s v="CNA Arcade, Ground Floor, No. 37, 1st Main, 1st Block, Koramangala, Bangalore-560034"/>
    <x v="17"/>
    <s v="Bangalore"/>
    <x v="44"/>
    <x v="44"/>
    <n v="307"/>
    <n v="307"/>
    <n v="307"/>
    <n v="349"/>
    <n v="43"/>
    <s v="12.928999,77.635218"/>
    <x v="0"/>
    <n v="3.4"/>
    <x v="0"/>
    <s v="Koramangala"/>
    <x v="1"/>
    <n v="0"/>
    <x v="3"/>
    <s v="Koramangala"/>
    <s v="Subway"/>
    <s v="12.928999"/>
    <s v="77.635218"/>
  </r>
  <r>
    <n v="167927988529759"/>
    <x v="29"/>
    <x v="0"/>
    <x v="0"/>
    <x v="0"/>
    <n v="20.9"/>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6 20:09:48"/>
    <s v="2024-02-26 20:12:01"/>
    <s v="21191609"/>
    <s v="Delivered"/>
    <x v="45"/>
    <s v="647582"/>
    <s v="Smoky Docky"/>
    <s v="130, 17th H Main Rd, KHB Colony, M.I.G, 5th Block, Koramangala, Bengaluru, Karnataka 560095, India"/>
    <x v="15"/>
    <s v="Bangalore"/>
    <x v="45"/>
    <x v="45"/>
    <n v="212"/>
    <n v="212"/>
    <n v="212"/>
    <n v="209"/>
    <n v="60"/>
    <s v="12.934678,77.616812"/>
    <x v="1"/>
    <n v="5.9"/>
    <x v="0"/>
    <s v="Koramangala"/>
    <x v="0"/>
    <n v="0"/>
    <x v="3"/>
    <s v="Koramangala"/>
    <s v="Smoky Docky"/>
    <s v="12.934678"/>
    <s v="77.616812"/>
  </r>
  <r>
    <n v="167230102604894"/>
    <x v="30"/>
    <x v="0"/>
    <x v="0"/>
    <x v="0"/>
    <n v="35.700000000000003"/>
    <s v="[{&quot;id&quot;:&quot;c43b8888-f483-43af-9935-7d403458284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4-02-18 18:18:22"/>
    <s v="2024-02-18 18:18:57"/>
    <s v="21191609"/>
    <s v="Delivered"/>
    <x v="46"/>
    <s v="144115"/>
    <s v="The Ganache Factory - Cakes &amp; Desserts"/>
    <s v="Parcel 5 Food Court, Embassy Tech Village, Outer Ring Road, Near New Horizon College, Devarabeesanahalli, Varthur Hobli, Bangalore , Mahadevapura , B.B.M.P East, Karnataka-560103"/>
    <x v="18"/>
    <s v="Bangalore"/>
    <x v="46"/>
    <x v="46"/>
    <n v="341"/>
    <n v="341"/>
    <n v="341"/>
    <n v="357"/>
    <n v="77"/>
    <s v="12.927366,77.692146"/>
    <x v="1"/>
    <n v="6.2"/>
    <x v="0"/>
    <s v="Devarabeesanahalli"/>
    <x v="0"/>
    <n v="0"/>
    <x v="3"/>
    <s v="Devarabeesanahalli"/>
    <s v="The Ganache Factory"/>
    <s v="12.927366"/>
    <s v="77.692146"/>
  </r>
  <r>
    <n v="167065261006312"/>
    <x v="31"/>
    <x v="0"/>
    <x v="1"/>
    <x v="1"/>
    <s v="NO OFFER"/>
    <s v="&quot;total_offer_discount&quot;:NO OFFER,"/>
    <s v="2024-02-16 20:31:01"/>
    <s v="2024-02-16 20:31:06"/>
    <s v="21191609"/>
    <s v="Delivered"/>
    <x v="47"/>
    <s v="254655"/>
    <s v="Daily Sushi"/>
    <s v="No.1212, SBM Fortune, 4th Floor, 22nd Cross Road, 14th Main Rd, 3rd Sector, HSR Layout, Bengaluru, Karnataka 560102, India"/>
    <x v="14"/>
    <s v="Bangalore"/>
    <x v="47"/>
    <x v="47"/>
    <n v="650"/>
    <n v="650"/>
    <n v="650"/>
    <n v="560"/>
    <n v="43"/>
    <s v="12.90942041,77.63866215"/>
    <x v="3"/>
    <n v="2"/>
    <x v="1"/>
    <s v="HSR Layout"/>
    <x v="1"/>
    <n v="0"/>
    <x v="3"/>
    <s v="HSR Layout"/>
    <s v="Daily Sushi"/>
    <s v="12.90942041"/>
    <s v="77.63866215"/>
  </r>
  <r>
    <n v="167041647226680"/>
    <x v="25"/>
    <x v="0"/>
    <x v="0"/>
    <x v="0"/>
    <n v="80"/>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6 13:57:27"/>
    <s v="2024-02-16 13:57:55"/>
    <s v="21191609"/>
    <s v="Delivered"/>
    <x v="48"/>
    <s v="2675"/>
    <s v="Subway"/>
    <s v="36, 3rd Store, 7th Sector, 14th main, HSR Layout"/>
    <x v="6"/>
    <s v="Bangalore"/>
    <x v="48"/>
    <x v="48"/>
    <n v="302"/>
    <n v="302"/>
    <n v="302"/>
    <n v="349"/>
    <n v="31"/>
    <s v="12.9118135,77.637958"/>
    <x v="3"/>
    <n v="1.9"/>
    <x v="0"/>
    <s v="HSR Layout"/>
    <x v="1"/>
    <n v="0"/>
    <x v="3"/>
    <s v="HSR Layout"/>
    <s v="Subway"/>
    <s v="12.9118135"/>
    <s v="77.637958"/>
  </r>
  <r>
    <n v="166952305677312"/>
    <x v="32"/>
    <x v="1"/>
    <x v="0"/>
    <x v="0"/>
    <n v="40"/>
    <s v="[{&quot;id&quot;:&quot;c43b8888-f483-43af-9935-7d4034582849&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2-15 13:08:25"/>
    <s v="2024-02-15 13:08:43"/>
    <s v="21191609"/>
    <s v="Delivered"/>
    <x v="49"/>
    <s v="144115"/>
    <s v="The Ganache Factory - Cakes &amp; Desserts"/>
    <s v="Parcel 5 Food Court, Embassy Tech Village, Outer Ring Road, Near New Horizon College, Devarabeesanahalli, Varthur Hobli, Bangalore , Mahadevapura , B.B.M.P East, Karnataka-560103"/>
    <x v="18"/>
    <s v="Bangalore"/>
    <x v="49"/>
    <x v="49"/>
    <n v="809"/>
    <n v="809"/>
    <n v="809"/>
    <n v="787.5"/>
    <n v="79"/>
    <s v="12.927366,77.692146"/>
    <x v="1"/>
    <n v="7.1"/>
    <x v="0"/>
    <s v="Devarabeesanahalli"/>
    <x v="1"/>
    <n v="0"/>
    <x v="3"/>
    <s v="Devarabeesanahalli"/>
    <s v="The Ganache Factory"/>
    <s v="12.927366"/>
    <s v="77.692146"/>
  </r>
  <r>
    <n v="166803724653459"/>
    <x v="33"/>
    <x v="0"/>
    <x v="0"/>
    <x v="0"/>
    <n v="80"/>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3 19:52:04"/>
    <s v="2024-02-13 19:52:39"/>
    <s v="21191609"/>
    <s v="Delivered"/>
    <x v="50"/>
    <s v="2675"/>
    <s v="Subway"/>
    <s v="36, 3rd Store, 7th Sector, 14th main, HSR Layout"/>
    <x v="6"/>
    <s v="Bangalore"/>
    <x v="50"/>
    <x v="50"/>
    <n v="198"/>
    <n v="198"/>
    <n v="198"/>
    <n v="250"/>
    <n v="34"/>
    <s v="12.9118135,77.637958"/>
    <x v="3"/>
    <n v="1.9"/>
    <x v="0"/>
    <s v="HSR Layout"/>
    <x v="0"/>
    <n v="0"/>
    <x v="3"/>
    <s v="HSR Layout"/>
    <s v="Subway"/>
    <s v="12.9118135"/>
    <s v="77.637958"/>
  </r>
  <r>
    <n v="165960896748502"/>
    <x v="34"/>
    <x v="1"/>
    <x v="0"/>
    <x v="5"/>
    <n v="111.6"/>
    <s v="[{&quot;id&quot;:&quot;a06ad688-47c7-4d07-b1e6-983b5c122814&quot;,&quot;super_type&quot;:&quot;SUPERTYPE_UNSPECIFIED&quot;,&quot;total_offer_discount&quot;:111.6,&quot;discount_share&quot;:{&quot;swiggy_discount&quot;:22.32,&quot;store_discount&quot;:89.28,&quot;alliance_discount&quot;:0},&quot;discount_type&quot;:&quot;PERCENTAGE&quot;,&quot;description&quot;:&quot;60% off&quot;,&quot;fixed_charges&quot;:{&quot;gp&quot;:{&quot;id&quot;:&quot;&quot;,&quot;final_price&quot;:0}}}]"/>
    <s v="2024-02-04 01:44:56"/>
    <s v="2024-02-04 01:45:34"/>
    <s v="21191609"/>
    <s v="Delivered"/>
    <x v="51"/>
    <s v="418488"/>
    <s v="NOTO - Ice Creams &amp; Desserts"/>
    <s v="#345, kaikondrahalli Sarjapura main road Bangalore 560056, Mahadevpura, B.B.M.P East, Karnataka - 560056"/>
    <x v="19"/>
    <s v="Bangalore"/>
    <x v="51"/>
    <x v="51"/>
    <n v="115"/>
    <n v="115"/>
    <n v="115"/>
    <n v="186"/>
    <n v="50"/>
    <s v="12.913087,77.678681"/>
    <x v="0"/>
    <n v="4.4000000000000004"/>
    <x v="0"/>
    <s v="Bellandur Sarjapur"/>
    <x v="1"/>
    <n v="0"/>
    <x v="3"/>
    <s v="Bellandur Sarjapur"/>
    <s v="NOTO"/>
    <s v="12.913087"/>
    <s v="77.678681"/>
  </r>
  <r>
    <n v="165923274381702"/>
    <x v="35"/>
    <x v="0"/>
    <x v="1"/>
    <x v="1"/>
    <s v="NO OFFER"/>
    <s v="&quot;total_offer_discount&quot;:NO OFFER,"/>
    <s v="2024-02-03 15:17:54"/>
    <s v="2024-02-03 15:18:26"/>
    <s v="21191609"/>
    <s v="Delivered"/>
    <x v="52"/>
    <s v="422128"/>
    <s v="Baba Ganoush"/>
    <s v="KORMANGALA, 6th block, 80ft main road Shop no 2, NA chambers 2 , 478, 6th Block, Koramangala, Bengaluru, Karnataka 560095, India"/>
    <x v="20"/>
    <s v="Bangalore"/>
    <x v="52"/>
    <x v="52"/>
    <n v="222"/>
    <n v="222"/>
    <n v="222"/>
    <n v="199"/>
    <n v="46"/>
    <s v="12.9398836,77.6252951"/>
    <x v="0"/>
    <n v="5"/>
    <x v="0"/>
    <s v="Koramangala"/>
    <x v="0"/>
    <n v="0"/>
    <x v="3"/>
    <s v="Koramangala"/>
    <s v="Baba Ganoush"/>
    <s v="12.9398836"/>
    <s v="77.6252951"/>
  </r>
  <r>
    <n v="165854296189400"/>
    <x v="29"/>
    <x v="0"/>
    <x v="0"/>
    <x v="0"/>
    <n v="20.9"/>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02 20:08:16"/>
    <s v="2024-02-02 20:09:12"/>
    <s v="21191609"/>
    <s v="Delivered"/>
    <x v="53"/>
    <s v="647582"/>
    <s v="Smoky Docky"/>
    <s v="130, 17th H Main Rd, KHB Colony, M.I.G, 5th Block, Koramangala, Bengaluru, Karnataka 560095, India"/>
    <x v="21"/>
    <s v="Bangalore"/>
    <x v="53"/>
    <x v="53"/>
    <n v="212"/>
    <n v="212"/>
    <n v="212"/>
    <n v="209"/>
    <n v="56"/>
    <s v="12.934678,77.616812"/>
    <x v="1"/>
    <n v="5.9"/>
    <x v="0"/>
    <s v="Koramangala"/>
    <x v="0"/>
    <n v="0"/>
    <x v="3"/>
    <s v="Koramangala"/>
    <s v="Smoky Docky"/>
    <s v="12.934678"/>
    <s v="77.616812"/>
  </r>
  <r>
    <n v="165409130967084"/>
    <x v="29"/>
    <x v="0"/>
    <x v="1"/>
    <x v="1"/>
    <s v="NO OFFER"/>
    <s v="&quot;total_offer_discount&quot;:NO OFFER,"/>
    <s v="2024-01-28 16:28:50"/>
    <s v="2024-01-28 16:28:56"/>
    <s v="21191609"/>
    <s v="Delivered"/>
    <x v="54"/>
    <s v="647582"/>
    <s v="Smoky Docky"/>
    <s v="130, 17th H Main Rd, KHB Colony, M.I.G, 5th Block, Koramangala, Bengaluru, Karnataka 560095, India"/>
    <x v="21"/>
    <s v="Bangalore"/>
    <x v="54"/>
    <x v="54"/>
    <n v="233"/>
    <n v="233"/>
    <n v="233"/>
    <n v="209"/>
    <n v="62"/>
    <s v="12.934678,77.616812"/>
    <x v="1"/>
    <n v="5.9"/>
    <x v="1"/>
    <s v="Koramangala"/>
    <x v="1"/>
    <n v="0"/>
    <x v="4"/>
    <s v="Koramangala"/>
    <s v="Smoky Docky"/>
    <s v="12.934678"/>
    <s v="77.616812"/>
  </r>
  <r>
    <n v="165341581288776"/>
    <x v="36"/>
    <x v="1"/>
    <x v="0"/>
    <x v="0"/>
    <n v="50"/>
    <s v="[{&quot;id&quot;:&quot;0d0cbd02-407f-4bb6-9c39-91b66ef5c01e&quot;,&quot;super_type&quot;:&quot;SUPERTYPE_UNSPECIFIED&quot;,&quot;total_offer_discount&quot;:50,&quot;discount_share&quot;:{&quot;swiggy_discount&quot;:0,&quot;store_discount&quot;:50,&quot;alliance_discount&quot;:0},&quot;discount_type&quot;:&quot;PERCENTAGE&quot;,&quot;description&quot;:&quot;20% off&quot;,&quot;fixed_charges&quot;:{&quot;gp&quot;:{&quot;id&quot;:&quot;&quot;,&quot;final_price&quot;:0}}}]"/>
    <s v="2024-01-27 21:43:01"/>
    <s v="2024-01-27 21:43:42"/>
    <s v="21191609"/>
    <s v="Delivered"/>
    <x v="24"/>
    <s v="23805"/>
    <s v="Domino's Pizza"/>
    <s v="Ground Floor, # 1573, Sector 1(Agara), HSR Layout,,Bangalore - 560102"/>
    <x v="22"/>
    <s v="Bangalore"/>
    <x v="55"/>
    <x v="55"/>
    <n v="599"/>
    <n v="599"/>
    <n v="599"/>
    <n v="578"/>
    <n v="0"/>
    <s v="12.923037,77.646448"/>
    <x v="3"/>
    <n v="0"/>
    <x v="0"/>
    <s v="HSR Layout"/>
    <x v="0"/>
    <n v="0"/>
    <x v="4"/>
    <s v="HSR Layout"/>
    <s v="Domino's Pizza"/>
    <s v="12.923037"/>
    <s v="77.646448"/>
  </r>
  <r>
    <n v="164743294943602"/>
    <x v="37"/>
    <x v="1"/>
    <x v="0"/>
    <x v="5"/>
    <n v="49.99"/>
    <s v="[{&quot;id&quot;:&quot;66f89a57-1f02-4c46-a99b-8fc3b891874a&quot;,&quot;super_type&quot;:&quot;SUPERTYPE_UNSPECIFIED&quot;,&quot;total_offer_discount&quot;:49.99,&quot;discount_share&quot;:{&quot;swiggy_discount&quot;:7.5,&quot;store_discount&quot;:42.49,&quot;alliance_discount&quot;:0},&quot;discount_type&quot;:&quot;PERCENTAGE&quot;,&quot;description&quot;:&quot;20% off&quot;,&quot;fixed_charges&quot;:{&quot;gp&quot;:{&quot;id&quot;:&quot;&quot;,&quot;final_price&quot;:0}}}]"/>
    <s v="2024-01-20 23:31:34"/>
    <s v="2024-01-20 23:31:48"/>
    <s v="21191609"/>
    <s v="Delivered"/>
    <x v="55"/>
    <s v="502673"/>
    <s v="The Belgian Waffle Co."/>
    <s v="Near VI store, 647, 27th main road, sector 2, sector 5, 1st sector HSR Layout, Bengaluru Karnataka - 560102"/>
    <x v="23"/>
    <s v="Bangalore"/>
    <x v="56"/>
    <x v="56"/>
    <n v="588"/>
    <n v="588"/>
    <n v="588"/>
    <n v="586.66999999999996"/>
    <n v="36"/>
    <s v="12.916097,77.65184"/>
    <x v="3"/>
    <n v="0.5"/>
    <x v="0"/>
    <s v="HSR Layout"/>
    <x v="1"/>
    <n v="0"/>
    <x v="4"/>
    <s v="HSR Layout"/>
    <s v="The Belgian Waffle Co."/>
    <s v="12.916097"/>
    <s v="77.65184"/>
  </r>
  <r>
    <n v="164714296625099"/>
    <x v="29"/>
    <x v="0"/>
    <x v="1"/>
    <x v="1"/>
    <s v="NO OFFER"/>
    <s v="&quot;total_offer_discount&quot;:NO OFFER,"/>
    <s v="2024-01-20 15:28:16"/>
    <s v="2024-01-20 15:28:43"/>
    <s v="21191609"/>
    <s v="Delivered"/>
    <x v="56"/>
    <s v="647582"/>
    <s v="Smoky Docky"/>
    <s v="130, 17th H Main Rd, KHB Colony, M.I.G, 5th Block, Koramangala, Bengaluru, Karnataka 560095, India"/>
    <x v="21"/>
    <s v="Bangalore"/>
    <x v="57"/>
    <x v="57"/>
    <n v="233"/>
    <n v="233"/>
    <n v="233"/>
    <n v="209"/>
    <n v="58"/>
    <s v="12.934678,77.616812"/>
    <x v="1"/>
    <n v="5.9"/>
    <x v="0"/>
    <s v="Koramangala"/>
    <x v="0"/>
    <n v="0"/>
    <x v="4"/>
    <s v="Koramangala"/>
    <s v="Smoky Docky"/>
    <s v="12.934678"/>
    <s v="77.616812"/>
  </r>
  <r>
    <n v="164376172877898"/>
    <x v="38"/>
    <x v="0"/>
    <x v="0"/>
    <x v="8"/>
    <n v="99.99"/>
    <s v="[{&quot;id&quot;:&quot;c5767fa3-4c94-4be2-88d4-9b923f4a2e14&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2:52"/>
    <s v="2024-01-16 17:33:03"/>
    <s v="21191609"/>
    <s v="Delivered"/>
    <x v="57"/>
    <s v="144115"/>
    <s v="The Ganache Factory - Cakes &amp; Desserts"/>
    <s v="Parcel 5 Food Court, Embassy Tech Village, Outer Ring Road, Near New Horizon College, Devarabeesanahalli, Varthur Hobli, Bangalore , Mahadevapura , B.B.M.P East, Karnataka-560103"/>
    <x v="18"/>
    <s v="Bangalore"/>
    <x v="58"/>
    <x v="58"/>
    <n v="886"/>
    <n v="886"/>
    <n v="886"/>
    <n v="913.5"/>
    <n v="78"/>
    <s v="12.927366,77.692146"/>
    <x v="1"/>
    <n v="6.2"/>
    <x v="0"/>
    <s v="Devarabeesanahalli"/>
    <x v="1"/>
    <n v="0"/>
    <x v="4"/>
    <s v="Devarabeesanahalli"/>
    <s v="The Ganache Factory"/>
    <s v="12.927366"/>
    <s v="77.692146"/>
  </r>
  <r>
    <n v="164376027513893"/>
    <x v="39"/>
    <x v="0"/>
    <x v="0"/>
    <x v="8"/>
    <n v="99.99"/>
    <s v="[{&quot;id&quot;:&quot;4102e284-fde9-40d3-b050-82926746d231&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0:27"/>
    <s v="2024-01-16 17:30:32"/>
    <s v="21191609"/>
    <s v="cancelled"/>
    <x v="24"/>
    <s v="15250"/>
    <s v="The Ganache Factory - Cakes &amp; Desserts"/>
    <s v="#156, 43rd Cross, 8th Block, Next to Udupi Hub Resto, Jayanagar, Bangalore"/>
    <x v="1"/>
    <s v="Bangalore"/>
    <x v="24"/>
    <x v="24"/>
    <n v="885"/>
    <n v="885"/>
    <n v="885"/>
    <n v="913.5"/>
    <n v="92"/>
    <s v="12.91835714,77.578127"/>
    <x v="2"/>
    <n v="8.4"/>
    <x v="0"/>
    <s v="Jayanagar"/>
    <x v="0"/>
    <n v="0"/>
    <x v="4"/>
    <s v="Jayanagar"/>
    <s v="The Ganache Factory"/>
    <s v="12.91835714"/>
    <s v="77.578127"/>
  </r>
  <r>
    <n v="164191765873335"/>
    <x v="40"/>
    <x v="0"/>
    <x v="0"/>
    <x v="7"/>
    <n v="99.99"/>
    <s v="[{&quot;id&quot;:&quot;e869bbb4-07f7-44d5-a519-1acaeadf5e53&quot;,&quot;super_type&quot;:&quot;SUPERTYPE_UNSPECIFIED&quot;,&quot;total_offer_discount&quot;:99.99,&quot;discount_share&quot;:{&quot;swiggy_discount&quot;:29.99,&quot;store_discount&quot;:70,&quot;alliance_discount&quot;:0},&quot;discount_type&quot;:&quot;FLAT&quot;,&quot;description&quot;:&quot;FLAT100 off&quot;,&quot;fixed_charges&quot;:{&quot;gp&quot;:{&quot;id&quot;:&quot;&quot;,&quot;final_price&quot;:0}}}]"/>
    <s v="2024-01-14 14:19:25"/>
    <s v="2024-01-14 14:19:42"/>
    <s v="21191609"/>
    <s v="Delivered"/>
    <x v="58"/>
    <s v="375045"/>
    <s v="Paratha Envy"/>
    <s v="NO.504, 2ND FLOOR, 6TH CROSS, 6TH BLOCK, KORAMANGALA BANGALORE., BTM Layout, B.B.M.P South, Karnataka-560095"/>
    <x v="20"/>
    <s v="Bangalore"/>
    <x v="59"/>
    <x v="59"/>
    <n v="466"/>
    <n v="466"/>
    <n v="466"/>
    <n v="496"/>
    <n v="52"/>
    <s v="12.937246,77.624643"/>
    <x v="1"/>
    <n v="5.2"/>
    <x v="0"/>
    <s v="Koramangala"/>
    <x v="0"/>
    <n v="0"/>
    <x v="4"/>
    <s v="Koramangala"/>
    <s v="Paratha Envy"/>
    <s v="12.937246"/>
    <s v="77.624643"/>
  </r>
  <r>
    <n v="163711888473406"/>
    <x v="41"/>
    <x v="1"/>
    <x v="1"/>
    <x v="1"/>
    <s v="NO OFFER"/>
    <s v="&quot;total_offer_discount&quot;:NO OFFER,"/>
    <s v="2024-01-09 01:01:28"/>
    <s v="2024-01-09 01:01:48"/>
    <s v="21191609"/>
    <s v="Delivered"/>
    <x v="59"/>
    <s v="23682"/>
    <s v="McDonald's"/>
    <s v="HSR Layout #1, 14th Main,HSR LSector VII, Bengaluru- 56102."/>
    <x v="12"/>
    <s v="Bangalore"/>
    <x v="60"/>
    <x v="60"/>
    <n v="270"/>
    <n v="270"/>
    <n v="270"/>
    <n v="220"/>
    <n v="36"/>
    <s v="12.91207388,77.6380679"/>
    <x v="3"/>
    <n v="0.4"/>
    <x v="0"/>
    <s v="HSR Layout"/>
    <x v="0"/>
    <n v="0"/>
    <x v="4"/>
    <s v="HSR Layout"/>
    <s v="McDonald's"/>
    <s v="12.91207388"/>
    <s v="77.6380679"/>
  </r>
  <r>
    <n v="163004675209983"/>
    <x v="30"/>
    <x v="0"/>
    <x v="0"/>
    <x v="5"/>
    <n v="35.700000000000003"/>
    <s v="[{&quot;id&quot;:&quot;c5752e1c-f5c2-4414-85fa-57de3a043c1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3-12-31 20:34:35"/>
    <s v="2023-12-31 20:34:53"/>
    <s v="21191609"/>
    <s v="Delivered"/>
    <x v="60"/>
    <s v="144115"/>
    <s v="The Ganache Factory - Cakes &amp; Desserts"/>
    <s v="Parcel 5 Food Court, Embassy Tech Village, Outer Ring Road, Near New Horizon College, Devarabeesanahalli, Varthur Hobli, Bangalore , Mahadevapura , B.B.M.P East, Karnataka-560103"/>
    <x v="18"/>
    <s v="Bangalore"/>
    <x v="61"/>
    <x v="61"/>
    <n v="342"/>
    <n v="342"/>
    <n v="342"/>
    <n v="357"/>
    <n v="76"/>
    <s v="12.927366,77.692146"/>
    <x v="1"/>
    <n v="6.2"/>
    <x v="0"/>
    <s v="Devarabeesanahalli"/>
    <x v="0"/>
    <n v="0"/>
    <x v="5"/>
    <s v="Devarabeesanahalli"/>
    <s v="The Ganache Factory"/>
    <s v="12.927366"/>
    <s v="77.692146"/>
  </r>
  <r>
    <n v="163004361179135"/>
    <x v="5"/>
    <x v="1"/>
    <x v="1"/>
    <x v="1"/>
    <s v="NO OFFER"/>
    <s v="&quot;total_offer_discount&quot;:NO OFFER,"/>
    <s v="2023-12-31 20:29:21"/>
    <s v="2023-12-31 20:29:27"/>
    <s v="21191609"/>
    <s v="Delivered"/>
    <x v="61"/>
    <s v="254655"/>
    <s v="Daily Sushi"/>
    <s v="No.1212, SBM Fortune, 4th Floor, 22nd Cross Road, 14th Main Rd, 3rd Sector, HSR Layout, Bengaluru, Karnataka 560102, India"/>
    <x v="14"/>
    <s v="Bangalore"/>
    <x v="62"/>
    <x v="62"/>
    <n v="467"/>
    <n v="467"/>
    <n v="467"/>
    <n v="400"/>
    <n v="31"/>
    <s v="12.909368,77.638656"/>
    <x v="0"/>
    <n v="2.1"/>
    <x v="0"/>
    <s v="HSR Layout"/>
    <x v="0"/>
    <n v="0"/>
    <x v="5"/>
    <s v="HSR Layout"/>
    <s v="Daily Sushi"/>
    <s v="12.909368"/>
    <s v="77.638656"/>
  </r>
  <r>
    <n v="162553743923962"/>
    <x v="42"/>
    <x v="0"/>
    <x v="0"/>
    <x v="9"/>
    <n v="174.99"/>
    <s v="[{&quot;id&quot;:&quot;0cf35ab8-1dc8-4c78-8500-44beda4d0877&quot;,&quot;super_type&quot;:&quot;SUPERTYPE_UNSPECIFIED&quot;,&quot;total_offer_discount&quot;:174.99,&quot;discount_share&quot;:{&quot;swiggy_discount&quot;:52.5,&quot;store_discount&quot;:122.49,&quot;alliance_discount&quot;:0},&quot;discount_type&quot;:&quot;FLAT&quot;,&quot;description&quot;:&quot;Flat ₹175 off&quot;,&quot;fixed_charges&quot;:{&quot;gp&quot;:{&quot;id&quot;:&quot;&quot;,&quot;final_price&quot;:0}}}]"/>
    <s v="2023-12-26 15:19:03"/>
    <s v="2023-12-26 15:19:25"/>
    <s v="21191609"/>
    <s v="Delivered"/>
    <x v="62"/>
    <s v="398360"/>
    <s v="Burger Seigneur"/>
    <s v="#717, 10th main road 2nd cross Hosapalya Opposite of Subodhini English high school ITI layout sector 7."/>
    <x v="24"/>
    <s v="Bangalore"/>
    <x v="63"/>
    <x v="63"/>
    <n v="788"/>
    <n v="788"/>
    <n v="788"/>
    <n v="920"/>
    <n v="40"/>
    <s v="12.90073452,77.6400283"/>
    <x v="0"/>
    <n v="2.8"/>
    <x v="0"/>
    <s v="ITI layout, Hosapalya"/>
    <x v="0"/>
    <n v="0"/>
    <x v="5"/>
    <s v="ITI layout, Hosapalya"/>
    <s v="Burger Seigneur"/>
    <s v="12.90073452"/>
    <s v="77.6400283"/>
  </r>
  <r>
    <n v="162461263812077"/>
    <x v="43"/>
    <x v="0"/>
    <x v="0"/>
    <x v="2"/>
    <n v="80"/>
    <s v="[{&quot;id&quot;:&quot;8493942f-3551-4789-a766-bd2e8eab5603&quot;,&quot;super_type&quot;:&quot;SUPERTYPE_UNSPECIFIED&quot;,&quot;total_offer_discount&quot;:80,&quot;discount_share&quot;:{&quot;swiggy_discount&quot;:12,&quot;store_discount&quot;:68,&quot;alliance_discount&quot;:0},&quot;discount_type&quot;:&quot;PERCENTAGE&quot;,&quot;description&quot;:&quot;40% off&quot;,&quot;fixed_charges&quot;:{&quot;gp&quot;:{&quot;id&quot;:&quot;&quot;,&quot;final_price&quot;:0}}}]"/>
    <s v="2023-12-25 13:37:43"/>
    <s v="2023-12-25 13:38:02"/>
    <s v="21191609"/>
    <s v="Delivered"/>
    <x v="63"/>
    <s v="398360"/>
    <s v="Burger Seigneur"/>
    <s v="#717, 10th main road 2nd cross Hosapalya Opposite of Subodhini English high school ITI layout sector 7."/>
    <x v="24"/>
    <s v="Bangalore"/>
    <x v="64"/>
    <x v="64"/>
    <n v="372"/>
    <n v="372"/>
    <n v="372"/>
    <n v="430"/>
    <n v="40"/>
    <s v="12.90073452,77.6400283"/>
    <x v="0"/>
    <n v="2.7"/>
    <x v="0"/>
    <s v="ITI layout, Hosapalya"/>
    <x v="1"/>
    <n v="0"/>
    <x v="5"/>
    <s v="ITI layout, Hosapalya"/>
    <s v="Burger Seigneur"/>
    <s v="12.90073452"/>
    <s v="77.6400283"/>
  </r>
  <r>
    <n v="161080636531967"/>
    <x v="44"/>
    <x v="0"/>
    <x v="0"/>
    <x v="0"/>
    <n v="80"/>
    <s v="[{&quot;id&quot;:&quot;485642ce-1796-4eab-9811-3ff5e4b7d538&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9 14:07:16"/>
    <s v="2023-12-09 14:07:34"/>
    <s v="21191609"/>
    <s v="Delivered"/>
    <x v="64"/>
    <s v="2675"/>
    <s v="Subway"/>
    <s v="36, 3rd Store, 7th Sector, 14th main, HSR Layout"/>
    <x v="6"/>
    <s v="Bangalore"/>
    <x v="65"/>
    <x v="65"/>
    <n v="355"/>
    <n v="355"/>
    <n v="355"/>
    <n v="399"/>
    <n v="33"/>
    <s v="12.9118135,77.637958"/>
    <x v="3"/>
    <n v="1.9"/>
    <x v="0"/>
    <s v="HSR Layout"/>
    <x v="1"/>
    <n v="0"/>
    <x v="5"/>
    <s v="HSR Layout"/>
    <s v="Subway"/>
    <s v="12.9118135"/>
    <s v="77.637958"/>
  </r>
  <r>
    <n v="160474594456670"/>
    <x v="45"/>
    <x v="0"/>
    <x v="0"/>
    <x v="2"/>
    <n v="80"/>
    <s v="[{&quot;id&quot;:&quot;bf585ef3-1522-4981-b7a7-5e366761dbce&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2 13:46:34"/>
    <s v="2023-12-02 13:46:52"/>
    <s v="21191609"/>
    <s v="Delivered"/>
    <x v="65"/>
    <s v="2675"/>
    <s v="Subway"/>
    <s v="36, 3rd Store, 7th Sector, 14th main, HSR Layout"/>
    <x v="6"/>
    <s v="Bangalore"/>
    <x v="66"/>
    <x v="66"/>
    <n v="354"/>
    <n v="354"/>
    <n v="354"/>
    <n v="398"/>
    <n v="32"/>
    <s v="12.9118135,77.637958"/>
    <x v="3"/>
    <n v="1.9"/>
    <x v="0"/>
    <s v="HSR Layout"/>
    <x v="0"/>
    <n v="0"/>
    <x v="5"/>
    <s v="HSR Layout"/>
    <s v="Subway"/>
    <s v="12.9118135"/>
    <s v="77.637958"/>
  </r>
  <r>
    <n v="159955886050893"/>
    <x v="46"/>
    <x v="0"/>
    <x v="0"/>
    <x v="0"/>
    <n v="120"/>
    <s v="[{&quot;id&quot;:&quot;a17455c6-6016-48b5-95c0-933ae258bf5c&quot;,&quot;super_type&quot;:&quot;SUPERTYPE_UNSPECIFIED&quot;,&quot;total_offer_discount&quot;:120,&quot;discount_share&quot;:{&quot;swiggy_discount&quot;:36,&quot;store_discount&quot;:84,&quot;alliance_discount&quot;:0},&quot;discount_type&quot;:&quot;PERCENTAGE&quot;,&quot;description&quot;:&quot;60% off&quot;,&quot;fixed_charges&quot;:{&quot;gp&quot;:{&quot;id&quot;:&quot;&quot;,&quot;final_price&quot;:0}}}]"/>
    <s v="2023-11-26 13:41:26"/>
    <s v="2023-11-26 13:41:50"/>
    <s v="21191609"/>
    <s v="Delivered"/>
    <x v="66"/>
    <s v="81810"/>
    <s v="Tharavadu family restaurant"/>
    <s v="1st FLOOR, NO.116/1, HOSUR MAIN ROAD, MANGAMMANAPALYA CROSS, BOMMANAHALLI , Bommenahalli , Bangalore South, Bangalore Urban, Karnataka-560068"/>
    <x v="25"/>
    <s v="Bangalore"/>
    <x v="67"/>
    <x v="67"/>
    <n v="284"/>
    <n v="284"/>
    <n v="284"/>
    <n v="375"/>
    <n v="41"/>
    <s v="12.906146,77.629745"/>
    <x v="0"/>
    <n v="3.3"/>
    <x v="0"/>
    <s v="Bommanahalli"/>
    <x v="0"/>
    <n v="0"/>
    <x v="6"/>
    <s v="Bommanahalli"/>
    <s v="Tharavadu family restaurant"/>
    <s v="12.906146"/>
    <s v="77.629745"/>
  </r>
  <r>
    <n v="159700431113615"/>
    <x v="47"/>
    <x v="1"/>
    <x v="0"/>
    <x v="7"/>
    <n v="100"/>
    <s v="[{&quot;id&quot;:&quot;3be8626e-f3e3-4950-bcca-639767fe94cf&quot;,&quot;super_type&quot;:&quot;SUPERTYPE_UNSPECIFIED&quot;,&quot;total_offer_discount&quot;:100,&quot;discount_share&quot;:{&quot;swiggy_discount&quot;:0,&quot;store_discount&quot;:100,&quot;alliance_discount&quot;:0},&quot;discount_type&quot;:&quot;FLAT&quot;,&quot;description&quot;:&quot;FLAT100 off&quot;,&quot;fixed_charges&quot;:{&quot;gp&quot;:{&quot;id&quot;:&quot;&quot;,&quot;final_price&quot;:0}}}]"/>
    <s v="2023-11-23 14:43:51"/>
    <s v="2023-11-23 14:44:09"/>
    <s v="21191609"/>
    <s v="Delivered"/>
    <x v="67"/>
    <s v="700113"/>
    <s v="The Best Thickshakes Co"/>
    <s v="1237, Sri Sai Crystal 17th cross, 5th Main Rd, HSR Layout, Bengaluru, Karnataka 560102"/>
    <x v="26"/>
    <s v="Bangalore"/>
    <x v="68"/>
    <x v="68"/>
    <n v="455"/>
    <n v="455"/>
    <n v="455"/>
    <n v="530"/>
    <n v="29"/>
    <s v="12.912028,77.632327"/>
    <x v="0"/>
    <n v="2.2999999999999998"/>
    <x v="0"/>
    <s v="HSR"/>
    <x v="0"/>
    <n v="0"/>
    <x v="6"/>
    <s v="HSR"/>
    <s v="The Best Thickshakes Co"/>
    <s v="12.912028"/>
    <s v="77.632327"/>
  </r>
  <r>
    <n v="159024606634682"/>
    <x v="48"/>
    <x v="1"/>
    <x v="0"/>
    <x v="10"/>
    <n v="50.01"/>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s v="21191609"/>
    <s v="Delivered"/>
    <x v="68"/>
    <s v="81810"/>
    <s v="Tharavadu family restaurant"/>
    <s v="1st FLOOR, NO.116/1, HOSUR MAIN ROAD, MANGAMMANAPALYA CROSS, BOMMANAHALLI , Bommenahalli , Bangalore South, Bangalore Urban, Karnataka-560068"/>
    <x v="25"/>
    <s v="Bangalore"/>
    <x v="69"/>
    <x v="69"/>
    <n v="380"/>
    <n v="380"/>
    <n v="380"/>
    <n v="540"/>
    <n v="44"/>
    <s v="12.906146,77.629745"/>
    <x v="0"/>
    <n v="3.3"/>
    <x v="0"/>
    <s v="Bommanahalli"/>
    <x v="0"/>
    <n v="0"/>
    <x v="6"/>
    <s v="Bommanahalli"/>
    <s v="Tharavadu family restaurant"/>
    <s v="12.906146"/>
    <s v="77.629745"/>
  </r>
  <r>
    <n v="158421216354293"/>
    <x v="49"/>
    <x v="0"/>
    <x v="1"/>
    <x v="1"/>
    <s v="NO OFFER"/>
    <s v="&quot;total_offer_discount&quot;:NO OFFER,"/>
    <s v="2023-11-08 19:23:36"/>
    <s v="2023-11-08 19:23:57"/>
    <s v="21191609"/>
    <s v="Delivered"/>
    <x v="69"/>
    <s v="244004"/>
    <s v="Wow! Momo"/>
    <s v="WOW MOMO NO1 120 14th main road 5th sector HSR layout Bangalore BTM layout BBMP south  Karnataka  560102"/>
    <x v="27"/>
    <s v="Bangalore"/>
    <x v="70"/>
    <x v="70"/>
    <n v="221"/>
    <n v="221"/>
    <n v="221"/>
    <n v="268"/>
    <n v="32"/>
    <s v="12.9161961,77.6377847"/>
    <x v="0"/>
    <n v="2.1"/>
    <x v="0"/>
    <s v="HSR Layout"/>
    <x v="0"/>
    <n v="0"/>
    <x v="6"/>
    <s v="HSR Layout"/>
    <s v="Wow! Momo"/>
    <s v="12.9161961"/>
    <s v="77.6377847"/>
  </r>
  <r>
    <n v="158334414702466"/>
    <x v="20"/>
    <x v="0"/>
    <x v="1"/>
    <x v="1"/>
    <s v="NO OFFER"/>
    <s v="&quot;total_offer_discount&quot;:NO OFFER,"/>
    <s v="2023-11-07 19:16:54"/>
    <s v="2023-11-07 19:17:27"/>
    <s v="21191609"/>
    <s v="Delivered"/>
    <x v="70"/>
    <s v="742267"/>
    <s v="Paris Panini - Gourmet Sandwiches &amp; Wraps"/>
    <s v="Counter No. 23, 24 &amp; 33, No. 53/2,  Doddakannelli Village, Varthur Hobli,  Bangalore, Mahadevapura , B.B.M.P East,  Karnataka-560038"/>
    <x v="28"/>
    <s v="Bangalore"/>
    <x v="71"/>
    <x v="71"/>
    <n v="287"/>
    <n v="287"/>
    <n v="287"/>
    <n v="245"/>
    <n v="72"/>
    <s v="12.9092988,77.6877346"/>
    <x v="1"/>
    <n v="5.4"/>
    <x v="0"/>
    <s v="Bellandur Sarjapur"/>
    <x v="0"/>
    <n v="2"/>
    <x v="6"/>
    <s v="Bellandur Sarjapur"/>
    <s v="Paris Panini"/>
    <s v="12.9092988"/>
    <s v="77.6877346"/>
  </r>
  <r>
    <n v="158133339719955"/>
    <x v="23"/>
    <x v="0"/>
    <x v="0"/>
    <x v="11"/>
    <n v="150"/>
    <s v="[{&quot;id&quot;:&quot;fcc09378-6922-4b80-a505-f2cda5e1f89c&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1-05 11:25:39"/>
    <s v="2023-11-05 11:25:54"/>
    <s v="21191609"/>
    <s v="Delivered"/>
    <x v="71"/>
    <s v="17036"/>
    <s v="Leon's - Burgers &amp; Wings (Leon Grill)"/>
    <s v="No.17, Ground Floor, 18th Cross Road, 3rd Sector, HSR Layout, Bangalore."/>
    <x v="12"/>
    <s v="Bangalore"/>
    <x v="72"/>
    <x v="72"/>
    <n v="251"/>
    <n v="251"/>
    <n v="251"/>
    <n v="349"/>
    <n v="31"/>
    <s v="12.91183127,77.64382903"/>
    <x v="3"/>
    <n v="1.6"/>
    <x v="0"/>
    <s v="HSR Layout"/>
    <x v="0"/>
    <n v="0"/>
    <x v="6"/>
    <s v="HSR Layout"/>
    <s v="Leon's"/>
    <s v="12.91183127"/>
    <s v="77.64382903"/>
  </r>
  <r>
    <n v="158078123542130"/>
    <x v="50"/>
    <x v="0"/>
    <x v="0"/>
    <x v="11"/>
    <n v="150"/>
    <s v="[{&quot;id&quot;:&quot;078f55cb-bc8e-4ef0-bdc1-3980cdc6873c&quot;,&quot;super_type&quot;:&quot;SUPERTYPE_UNSPECIFIED&quot;,&quot;total_offer_discount&quot;:150,&quot;discount_share&quot;:{&quot;swiggy_discount&quot;:45,&quot;store_discount&quot;:105,&quot;alliance_discount&quot;:0},&quot;discount_type&quot;:&quot;FLAT&quot;,&quot;description&quot;:&quot;FLAT150 off&quot;,&quot;fixed_charges&quot;:{&quot;gp&quot;:{&quot;id&quot;:&quot;&quot;,&quot;final_price&quot;:0}}}]"/>
    <s v="2023-11-04 20:05:23"/>
    <s v="2023-11-04 20:05:40"/>
    <s v="21191609"/>
    <s v="Delivered"/>
    <x v="72"/>
    <s v="254655"/>
    <s v="Daily Sushi"/>
    <s v="No.1212, SBM Fortune, 4th Floor, 22nd Cross Road, 14th Main Rd, 3rd Sector, HSR Layout, Bengaluru, Karnataka 560102, India"/>
    <x v="14"/>
    <s v="Bangalore"/>
    <x v="73"/>
    <x v="73"/>
    <n v="333"/>
    <n v="333"/>
    <n v="333"/>
    <n v="420"/>
    <n v="40"/>
    <s v="12.909368,77.638656"/>
    <x v="0"/>
    <n v="2.1"/>
    <x v="0"/>
    <s v="HSR Layout"/>
    <x v="1"/>
    <n v="0"/>
    <x v="6"/>
    <s v="HSR Layout"/>
    <s v="Daily Sushi"/>
    <s v="12.909368"/>
    <s v="77.638656"/>
  </r>
  <r>
    <n v="158041541026826"/>
    <x v="51"/>
    <x v="0"/>
    <x v="1"/>
    <x v="1"/>
    <s v="NO OFFER"/>
    <s v="&quot;total_offer_discount&quot;:NO OFFER,"/>
    <s v="2023-11-04 09:55:41"/>
    <s v="2023-11-04 09:55:59"/>
    <s v="21191609"/>
    <s v="Delivered"/>
    <x v="73"/>
    <s v="62430"/>
    <s v="Dosa Chicken &amp; Tiffins"/>
    <s v="235, 9th Main Road, Sector 7, HSR Layout, Sector 7, HSR Layout, Bengaluru, Karnataka 560102"/>
    <x v="6"/>
    <s v="Bangalore"/>
    <x v="74"/>
    <x v="74"/>
    <n v="191"/>
    <n v="191"/>
    <n v="191"/>
    <n v="169"/>
    <n v="33"/>
    <s v="12.912837,77.63510900000006"/>
    <x v="0"/>
    <n v="2.1"/>
    <x v="0"/>
    <s v="HSR Layout"/>
    <x v="0"/>
    <n v="0"/>
    <x v="6"/>
    <s v="HSR Layout"/>
    <s v="Dosa Chicken &amp; Tiffins"/>
    <s v="12.912837"/>
    <s v="77.63510900000006"/>
  </r>
  <r>
    <n v="157279336071863"/>
    <x v="52"/>
    <x v="0"/>
    <x v="0"/>
    <x v="0"/>
    <n v="50"/>
    <s v="[{&quot;id&quot;:&quot;56bb9bfb-bb7d-4334-9bfa-0b49fa1625e7&quot;,&quot;super_type&quot;:&quot;SUPERTYPE_UNSPECIFIED&quot;,&quot;total_offer_discount&quot;:50,&quot;discount_share&quot;:{&quot;swiggy_discount&quot;:25,&quot;store_discount&quot;:25,&quot;alliance_discount&quot;:0},&quot;discount_type&quot;:&quot;PERCENTAGE&quot;,&quot;description&quot;:&quot;20% off&quot;,&quot;fixed_charges&quot;:{&quot;gp&quot;:{&quot;id&quot;:&quot;&quot;,&quot;final_price&quot;:0}}}]"/>
    <s v="2023-10-26 14:12:16"/>
    <s v="2023-10-26 14:12:30"/>
    <s v="21191609"/>
    <s v="Delivered"/>
    <x v="74"/>
    <s v="17036"/>
    <s v="Leon's - Burgers &amp; Wings (Leon Grill)"/>
    <s v="No.17, Ground Floor, 18th Cross Road, 3rd Sector, HSR Layout, Bangalore."/>
    <x v="12"/>
    <s v="Bangalore"/>
    <x v="75"/>
    <x v="75"/>
    <n v="298"/>
    <n v="298"/>
    <n v="298"/>
    <n v="295.86"/>
    <n v="30"/>
    <s v="12.91183127,77.64382903"/>
    <x v="3"/>
    <n v="0.2"/>
    <x v="0"/>
    <s v="HSR Layout"/>
    <x v="1"/>
    <n v="0"/>
    <x v="7"/>
    <s v="HSR Layout"/>
    <s v="Leon's"/>
    <s v="12.91183127"/>
    <s v="77.64382903"/>
  </r>
  <r>
    <n v="157212479386394"/>
    <x v="53"/>
    <x v="0"/>
    <x v="1"/>
    <x v="1"/>
    <s v="NO OFFER"/>
    <s v="&quot;total_offer_discount&quot;:NO OFFER,"/>
    <s v="2023-10-25 19:37:59"/>
    <s v="2023-10-25 19:38:20"/>
    <s v="21191609"/>
    <s v="Delivered"/>
    <x v="75"/>
    <s v="488099"/>
    <s v="The Himalayan Momo Company"/>
    <s v="73, 27 th Main Road,Phase 3, Agara Village,1 st Sector"/>
    <x v="22"/>
    <s v="Bangalore"/>
    <x v="76"/>
    <x v="76"/>
    <n v="167"/>
    <n v="167"/>
    <n v="167"/>
    <n v="149"/>
    <n v="42"/>
    <s v="12.920751,77.650396"/>
    <x v="3"/>
    <n v="0.6"/>
    <x v="0"/>
    <s v="HSR Layout"/>
    <x v="1"/>
    <n v="0"/>
    <x v="7"/>
    <s v="HSR Layout"/>
    <s v="The Himalayan Momo Company"/>
    <s v="12.920751"/>
    <s v="77.650396"/>
  </r>
  <r>
    <n v="157095860714592"/>
    <x v="54"/>
    <x v="1"/>
    <x v="0"/>
    <x v="12"/>
    <n v="99.99"/>
    <s v="[{&quot;id&quot;:&quot;ea6bee14-f548-4089-84e7-e3203d403723&quot;,&quot;super_type&quot;:&quot;SUPERTYPE_UNSPECIFIED&quot;,&quot;total_offer_discount&quot;:99.99,&quot;discount_share&quot;:{&quot;swiggy_discount&quot;:30,&quot;store_discount&quot;:69.99,&quot;alliance_discount&quot;:0},&quot;discount_type&quot;:&quot;FLAT&quot;,&quot;description&quot;:&quot;FLAT100 off&quot;,&quot;fixed_charges&quot;:{&quot;gp&quot;:{&quot;id&quot;:&quot;&quot;,&quot;final_price&quot;:0}}}]"/>
    <s v="2023-10-24 11:14:20"/>
    <s v="2023-10-24 11:14:46"/>
    <s v="21191609"/>
    <s v="Delivered"/>
    <x v="76"/>
    <s v="348329"/>
    <s v="Paratha Envy"/>
    <s v="NO.1560/1435/33, K SOMASHEKHAR REDDY, KAIKONDRAHALLI, BANGALORE., Mahadevapura , B.B.M.P East, Karnataka-560035"/>
    <x v="19"/>
    <s v="Bangalore"/>
    <x v="77"/>
    <x v="77"/>
    <n v="300"/>
    <n v="300"/>
    <n v="300"/>
    <n v="357"/>
    <n v="41"/>
    <s v="12.9075344,77.67582123"/>
    <x v="0"/>
    <n v="5"/>
    <x v="2"/>
    <s v="Sarjapur Road"/>
    <x v="1"/>
    <n v="0"/>
    <x v="7"/>
    <s v="Sarjapur Road"/>
    <s v="Paratha Envy"/>
    <s v="12.9075344"/>
    <s v="77.67582123"/>
  </r>
  <r>
    <n v="156956128612767"/>
    <x v="55"/>
    <x v="1"/>
    <x v="0"/>
    <x v="11"/>
    <n v="150"/>
    <s v="[{&quot;id&quot;:&quot;3bd1bb74-de3a-4270-a72c-02c43dcf7ce4&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0-22 20:25:28"/>
    <s v="2023-10-22 20:25:40"/>
    <s v="21191609"/>
    <s v="Delivered"/>
    <x v="77"/>
    <s v="17036"/>
    <s v="Leon's - Burgers &amp; Wings (Leon Grill)"/>
    <s v="No.17, Ground Floor, 18th Cross Road, 3rd Sector, HSR Layout, Bangalore."/>
    <x v="12"/>
    <s v="Bangalore"/>
    <x v="78"/>
    <x v="78"/>
    <n v="221"/>
    <n v="221"/>
    <n v="221"/>
    <n v="320.86"/>
    <n v="33"/>
    <s v="12.91183127,77.64382903"/>
    <x v="3"/>
    <n v="1.3"/>
    <x v="2"/>
    <s v="HSR Layout"/>
    <x v="0"/>
    <n v="0"/>
    <x v="7"/>
    <s v="HSR Layout"/>
    <s v="Leon's"/>
    <s v="12.91183127"/>
    <s v="77.64382903"/>
  </r>
  <r>
    <n v="156923241346336"/>
    <x v="46"/>
    <x v="0"/>
    <x v="0"/>
    <x v="11"/>
    <n v="149.97999999999999"/>
    <s v="[{&quot;id&quot;:&quot;8f719de5-eb1b-4866-993e-5d0ef85a8583&quot;,&quot;super_type&quot;:&quot;SUPERTYPE_UNSPECIFIED&quot;,&quot;total_offer_discount&quot;:149.98000000000002,&quot;discount_share&quot;:{&quot;swiggy_discount&quot;:30,&quot;store_discount&quot;:119.98,&quot;alliance_discount&quot;:0},&quot;discount_type&quot;:&quot;FLAT&quot;,&quot;description&quot;:&quot;FLAT150 off&quot;,&quot;fixed_charges&quot;:{&quot;gp&quot;:{&quot;id&quot;:&quot;&quot;,&quot;final_price&quot;:0}}}]"/>
    <s v="2023-10-22 11:17:21"/>
    <s v="2023-10-22 11:17:36"/>
    <s v="21191609"/>
    <s v="Delivered"/>
    <x v="78"/>
    <s v="81810"/>
    <s v="Tharavadu family restaurant"/>
    <s v="1st FLOOR, NO.116/1, HOSUR MAIN ROAD, MANGAMMANAPALYA CROSS, BOMMANAHALLI , Bommenahalli , Bangalore South, Bangalore Urban, Karnataka-560068"/>
    <x v="25"/>
    <s v="Bangalore"/>
    <x v="79"/>
    <x v="79"/>
    <n v="289"/>
    <n v="289"/>
    <n v="289"/>
    <n v="410"/>
    <n v="41"/>
    <s v="12.906146,77.629745"/>
    <x v="0"/>
    <n v="3.3"/>
    <x v="2"/>
    <s v="Bommanahalli"/>
    <x v="0"/>
    <n v="0"/>
    <x v="7"/>
    <s v="Bommanahalli"/>
    <s v="Tharavadu family restaurant"/>
    <s v="12.906146"/>
    <s v="77.629745"/>
  </r>
  <r>
    <n v="156864275866899"/>
    <x v="56"/>
    <x v="0"/>
    <x v="1"/>
    <x v="1"/>
    <s v="NO OFFER"/>
    <s v="&quot;total_offer_discount&quot;:NO OFFER,"/>
    <s v="2023-10-21 18:54:35"/>
    <s v="2023-10-21 18:54:52"/>
    <s v="21191609"/>
    <s v="Delivered"/>
    <x v="79"/>
    <s v="55737"/>
    <s v="Kairali Restaurant"/>
    <s v="32/21 near Maruti showroom outer ring road belladur Bangalore"/>
    <x v="29"/>
    <s v="Bangalore"/>
    <x v="80"/>
    <x v="80"/>
    <n v="265"/>
    <n v="265"/>
    <n v="265"/>
    <n v="239"/>
    <n v="49"/>
    <s v="12.928069,77.679204"/>
    <x v="0"/>
    <n v="4.2"/>
    <x v="2"/>
    <s v="Bellandur"/>
    <x v="0"/>
    <n v="0"/>
    <x v="7"/>
    <s v="Bellandur"/>
    <s v="Kairali Restaurant"/>
    <s v="12.928069"/>
    <s v="77.679204"/>
  </r>
  <r>
    <n v="156652104418064"/>
    <x v="57"/>
    <x v="1"/>
    <x v="0"/>
    <x v="13"/>
    <n v="62.09"/>
    <s v="[{&quot;id&quot;:&quot;b78bb0be-4ca2-4b04-af1e-66e991460b12&quot;,&quot;super_type&quot;:&quot;SUPERTYPE_UNSPECIFIED&quot;,&quot;total_offer_discount&quot;:62.099999999999994,&quot;discount_share&quot;:{&quot;swiggy_discount&quot;:18.63,&quot;store_discount&quot;:43.47,&quot;alliance_discount&quot;:0},&quot;discount_type&quot;:&quot;PERCENTAGE&quot;,&quot;description&quot;:&quot;30% off&quot;,&quot;fixed_charges&quot;:{&quot;gp&quot;:{&quot;id&quot;:&quot;&quot;,&quot;final_price&quot;:0}}}]"/>
    <s v="2023-10-19 07:58:24"/>
    <s v="2023-10-19 07:58:54"/>
    <s v="21191609"/>
    <s v="Delivered"/>
    <x v="80"/>
    <s v="201224"/>
    <s v="Asha tiffins"/>
    <s v="Asha Tiffins, 5th Main Road, Sector 7, HSR Layout, Bengaluru, Karnataka, India"/>
    <x v="6"/>
    <s v="Bangalore"/>
    <x v="81"/>
    <x v="81"/>
    <n v="189"/>
    <n v="189"/>
    <n v="189"/>
    <n v="207"/>
    <n v="30"/>
    <s v="12.911856,77.6325489999999"/>
    <x v="0"/>
    <n v="2.4"/>
    <x v="0"/>
    <s v="HSR Layout"/>
    <x v="1"/>
    <n v="0"/>
    <x v="7"/>
    <s v="HSR Layout"/>
    <s v="Asha tiffins"/>
    <s v="12.911856"/>
    <s v="77.6325489999999"/>
  </r>
  <r>
    <n v="155826395288522"/>
    <x v="58"/>
    <x v="0"/>
    <x v="0"/>
    <x v="0"/>
    <n v="50"/>
    <s v="[{&quot;id&quot;:&quot;6ee62658-3aa8-497e-8248-ac41eba5d5ef&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3-10-09 18:36:35"/>
    <s v="2023-10-09 18:36:50"/>
    <s v="21191609"/>
    <s v="Delivered"/>
    <x v="81"/>
    <s v="709170"/>
    <s v="Imperio Restaurant"/>
    <s v="imperio restaurant , 495, 17th Cross Rd, Parangi Palaya, Sector 2, HSR Layout, Bengaluru, Karnataka"/>
    <x v="30"/>
    <s v="Bangalore"/>
    <x v="82"/>
    <x v="82"/>
    <n v="229"/>
    <n v="229"/>
    <n v="229"/>
    <n v="258"/>
    <n v="48"/>
    <s v="12.91181824,77.6495233"/>
    <x v="3"/>
    <n v="0.7"/>
    <x v="2"/>
    <s v="HSR"/>
    <x v="1"/>
    <n v="2"/>
    <x v="7"/>
    <s v="HSR"/>
    <s v="Imperio Restaurant"/>
    <s v="12.91181824"/>
    <s v="77.6495233"/>
  </r>
  <r>
    <n v="154933952448406"/>
    <x v="59"/>
    <x v="1"/>
    <x v="1"/>
    <x v="1"/>
    <s v="NO OFFER"/>
    <s v="&quot;total_offer_discount&quot;:NO OFFER,"/>
    <s v="2023-09-29 10:42:32"/>
    <s v="2023-09-29 10:42:49"/>
    <s v="21191609"/>
    <s v="Delivered"/>
    <x v="82"/>
    <s v="348329"/>
    <s v="Paratha Envy"/>
    <s v="NO.1560/1435/33, K SOMASHEKHAR REDDY, KAIKONDRAHALLI, BANGALORE., Mahadevapura , B.B.M.P East, Karnataka-560035"/>
    <x v="19"/>
    <s v="Bangalore"/>
    <x v="83"/>
    <x v="83"/>
    <n v="553"/>
    <n v="553"/>
    <n v="553"/>
    <n v="535"/>
    <n v="44"/>
    <s v="12.9075344,77.67582123"/>
    <x v="0"/>
    <n v="5"/>
    <x v="0"/>
    <s v="Sarjapur Road"/>
    <x v="1"/>
    <n v="0"/>
    <x v="8"/>
    <s v="Sarjapur Road"/>
    <s v="Paratha Envy"/>
    <s v="12.9075344"/>
    <s v="77.67582123"/>
  </r>
  <r>
    <n v="178713153585"/>
    <x v="60"/>
    <x v="1"/>
    <x v="0"/>
    <x v="5"/>
    <n v="119.99"/>
    <s v="[{&quot;id&quot;:&quot;60385055-547d-4c3b-bef2-75f14c9cfb0d&quot;,&quot;super_type&quot;:&quot;SUPERTYPE_UNSPECIFIED&quot;,&quot;total_offer_discount&quot;:119.99,&quot;discount_share&quot;:{&quot;swiggy_discount&quot;:36,&quot;store_discount&quot;:83.99,&quot;alliance_discount&quot;:0},&quot;discount_type&quot;:&quot;PERCENTAGE&quot;,&quot;description&quot;:&quot;60% off&quot;,&quot;fixed_charges&quot;:{&quot;gp&quot;:{&quot;id&quot;:&quot;&quot;,&quot;final_price&quot;:0}}}]"/>
    <s v="2023-09-25 16:02:34"/>
    <s v="2023-09-25 16:03:35"/>
    <s v="21191609"/>
    <s v="Delivered"/>
    <x v="83"/>
    <s v="81810"/>
    <s v="Tharavadu family restaurant"/>
    <s v="1st FLOOR, NO.116/1, HOSUR MAIN ROAD, MANGAMMANAPALYA CROSS, BOMMANAHALLI , Bommenahalli , Bangalore South, Bangalore Urban, Karnataka-560068"/>
    <x v="25"/>
    <s v="Bangalore"/>
    <x v="84"/>
    <x v="84"/>
    <n v="362"/>
    <n v="362"/>
    <n v="362"/>
    <n v="441"/>
    <n v="34"/>
    <s v="12.906146,77.629745"/>
    <x v="0"/>
    <n v="3.3"/>
    <x v="0"/>
    <s v="Bommanahalli"/>
    <x v="1"/>
    <n v="0"/>
    <x v="8"/>
    <s v="Bommanahalli"/>
    <s v="Tharavadu family restaurant"/>
    <s v="12.906146"/>
    <s v="77.629745"/>
  </r>
  <r>
    <n v="178539970232"/>
    <x v="61"/>
    <x v="1"/>
    <x v="1"/>
    <x v="1"/>
    <s v="NO OFFER"/>
    <s v="&quot;total_offer_discount&quot;:NO OFFER,"/>
    <s v="2023-09-23 15:56:11"/>
    <s v="2023-09-23 15:56:34"/>
    <s v="21191609"/>
    <s v="Delivered"/>
    <x v="84"/>
    <s v="567783"/>
    <s v="HSR Freshcane Juice"/>
    <s v="NO 2333, 24TH MAIN,17TH CROSS SECTOR NO 1, HSR LAYOUT, Bommanahalli , B.B.M.P South, , Karnataka, 560102"/>
    <x v="22"/>
    <s v="Bangalore"/>
    <x v="85"/>
    <x v="85"/>
    <n v="281"/>
    <n v="281"/>
    <n v="281"/>
    <n v="256"/>
    <n v="31"/>
    <s v="12.912110164242,77.648900840197"/>
    <x v="3"/>
    <n v="0.5"/>
    <x v="0"/>
    <s v="HSR Layout"/>
    <x v="0"/>
    <n v="0"/>
    <x v="8"/>
    <s v="HSR Layout"/>
    <s v="HSR Freshcane Juice"/>
    <s v="12.912110164242"/>
    <s v="77.648900840197"/>
  </r>
  <r>
    <n v="178180906036"/>
    <x v="58"/>
    <x v="0"/>
    <x v="0"/>
    <x v="5"/>
    <n v="49.99"/>
    <s v="[{&quot;id&quot;:&quot;0c2819fc-1836-431a-8677-00e94af123b8&quot;,&quot;super_type&quot;:&quot;SUPERTYPE_UNSPECIFIED&quot;,&quot;total_offer_discount&quot;:49.99,&quot;discount_share&quot;:{&quot;swiggy_discount&quot;:15,&quot;store_discount&quot;:34.99,&quot;alliance_discount&quot;:0},&quot;discount_type&quot;:&quot;PERCENTAGE&quot;,&quot;description&quot;:&quot;20% off&quot;,&quot;fixed_charges&quot;:{&quot;gp&quot;:{&quot;id&quot;:&quot;&quot;,&quot;final_price&quot;:0}}}]"/>
    <s v="2023-09-19 12:11:47"/>
    <s v="2023-09-19 12:12:10"/>
    <s v="21191609"/>
    <s v="Delivered"/>
    <x v="85"/>
    <s v="709170"/>
    <s v="Imperio Restaurant"/>
    <s v="imperio restaurant , 495, 17th Cross Rd, Parangi Palaya, Sector 2, HSR Layout, Bengaluru, Karnataka"/>
    <x v="30"/>
    <s v="Bangalore"/>
    <x v="86"/>
    <x v="86"/>
    <n v="301"/>
    <n v="301"/>
    <n v="301"/>
    <n v="318"/>
    <n v="28"/>
    <s v="12.91181824,77.6495233"/>
    <x v="3"/>
    <n v="0.7"/>
    <x v="0"/>
    <s v="HSR"/>
    <x v="1"/>
    <n v="0"/>
    <x v="8"/>
    <s v="HSR"/>
    <s v="Imperio Restaurant"/>
    <s v="12.91181824"/>
    <s v="77.6495233"/>
  </r>
  <r>
    <n v="178090781440"/>
    <x v="51"/>
    <x v="0"/>
    <x v="1"/>
    <x v="1"/>
    <s v="NO OFFER"/>
    <s v="&quot;total_offer_discount&quot;:NO OFFER,"/>
    <s v="2023-09-18 11:09:42"/>
    <s v="2023-09-18 11:10:02"/>
    <s v="21191609"/>
    <s v="Delivered"/>
    <x v="86"/>
    <s v="62430"/>
    <s v="Dosa Chicken &amp; Tiffins"/>
    <s v="235, 9th Main Road, Sector 7, HSR Layout, Sector 7, HSR Layout, Bengaluru, Karnataka 560102"/>
    <x v="6"/>
    <s v="Bangalore"/>
    <x v="87"/>
    <x v="87"/>
    <n v="190"/>
    <n v="190"/>
    <n v="190"/>
    <n v="169"/>
    <n v="28"/>
    <s v="12.912837,77.63510900000006"/>
    <x v="3"/>
    <n v="2"/>
    <x v="0"/>
    <s v="HSR Layout"/>
    <x v="1"/>
    <n v="0"/>
    <x v="8"/>
    <s v="HSR Layout"/>
    <s v="Dosa Chicken &amp; Tiffins"/>
    <s v="12.912837"/>
    <s v="77.63510900000006"/>
  </r>
  <r>
    <n v="177591184372"/>
    <x v="45"/>
    <x v="0"/>
    <x v="0"/>
    <x v="14"/>
    <n v="80"/>
    <s v="[{&quot;id&quot;:&quot;73f920b6-b8d2-4b29-b4a9-72846208860d&quot;,&quot;super_type&quot;:&quot;SUPERTYPE_UNSPECIFIED&quot;,&quot;total_offer_discount&quot;:80,&quot;discount_share&quot;:{&quot;swiggy_discount&quot;:32,&quot;store_discount&quot;:48,&quot;alliance_discount&quot;:0},&quot;discount_type&quot;:&quot;PERCENTAGE&quot;,&quot;description&quot;:&quot;40% off&quot;,&quot;fixed_charges&quot;:{&quot;gp&quot;:{&quot;id&quot;:&quot;&quot;,&quot;final_price&quot;:0}}}]"/>
    <s v="2023-09-12 16:23:04"/>
    <s v="2023-09-12 16:23:21"/>
    <s v="21191609"/>
    <s v="Delivered"/>
    <x v="87"/>
    <s v="2675"/>
    <s v="Subway"/>
    <s v="36, 3rd Store, 7th Sector, 14th main, HSR Layout"/>
    <x v="6"/>
    <s v="Bangalore"/>
    <x v="88"/>
    <x v="88"/>
    <n v="244"/>
    <n v="244"/>
    <n v="244"/>
    <n v="299"/>
    <n v="28"/>
    <s v="12.9118135,77.637958"/>
    <x v="3"/>
    <n v="1.7"/>
    <x v="0"/>
    <s v="HSR Layout"/>
    <x v="1"/>
    <n v="0"/>
    <x v="8"/>
    <s v="HSR Layout"/>
    <s v="Subway"/>
    <s v="12.9118135"/>
    <s v="77.637958"/>
  </r>
  <r>
    <n v="177445532607"/>
    <x v="62"/>
    <x v="0"/>
    <x v="0"/>
    <x v="15"/>
    <n v="138"/>
    <s v="[{&quot;id&quot;:&quot;1178c39c-98d9-4510-b5b7-122edfb7e4fc&quot;,&quot;super_type&quot;:&quot;SUPERTYPE_UNSPECIFIED&quot;,&quot;total_offer_discount&quot;:138,&quot;discount_share&quot;:{&quot;swiggy_discount&quot;:0,&quot;store_discount&quot;:138,&quot;alliance_discount&quot;:0},&quot;discount_type&quot;:&quot;PERCENTAGE&quot;,&quot;description&quot;:&quot;10% off&quot;,&quot;fixed_charges&quot;:{&quot;gp&quot;:{&quot;id&quot;:&quot;&quot;,&quot;final_price&quot;:0}}}]"/>
    <s v="2023-09-10 23:55:33"/>
    <s v="2023-09-10 23:55:52"/>
    <s v="21191609"/>
    <s v="Delivered"/>
    <x v="88"/>
    <s v="395574"/>
    <s v="Plan B"/>
    <s v="No 2324, 17th Cross Road, 1st Sector, HSR Layout, Bengaluru, Karnataka 560012"/>
    <x v="22"/>
    <s v="Bangalore"/>
    <x v="89"/>
    <x v="89"/>
    <n v="1369"/>
    <n v="1369"/>
    <n v="1369"/>
    <n v="1380"/>
    <n v="41"/>
    <s v="12.912120631518187,77.65069759736535"/>
    <x v="3"/>
    <n v="0.8"/>
    <x v="0"/>
    <s v="HSR Layout"/>
    <x v="1"/>
    <n v="0"/>
    <x v="8"/>
    <s v="HSR Layout"/>
    <s v="Plan B"/>
    <s v="12.912120631518187"/>
    <s v="77.65069759736535"/>
  </r>
  <r>
    <n v="177265186487"/>
    <x v="63"/>
    <x v="0"/>
    <x v="0"/>
    <x v="15"/>
    <n v="197"/>
    <s v="[{&quot;id&quot;:&quot;1178c39c-98d9-4510-b5b7-122edfb7e4fc&quot;,&quot;super_type&quot;:&quot;SUPERTYPE_UNSPECIFIED&quot;,&quot;total_offer_discount&quot;:197,&quot;discount_share&quot;:{&quot;swiggy_discount&quot;:0,&quot;store_discount&quot;:197,&quot;alliance_discount&quot;:0},&quot;discount_type&quot;:&quot;PERCENTAGE&quot;,&quot;description&quot;:&quot;10% off&quot;,&quot;fixed_charges&quot;:{&quot;gp&quot;:{&quot;id&quot;:&quot;&quot;,&quot;final_price&quot;:0}}}]"/>
    <s v="2023-09-08 21:49:47"/>
    <s v="2023-09-08 21:50:07"/>
    <s v="21191609"/>
    <s v="Delivered"/>
    <x v="89"/>
    <s v="395574"/>
    <s v="Plan B"/>
    <s v="No 2324, 17th Cross Road, 1st Sector, HSR Layout, Bengaluru, Karnataka 560012"/>
    <x v="22"/>
    <s v="Bangalore"/>
    <x v="90"/>
    <x v="90"/>
    <n v="1905"/>
    <n v="1905"/>
    <n v="1905"/>
    <n v="1970"/>
    <n v="37"/>
    <s v="12.912120631518187,77.65069759736535"/>
    <x v="3"/>
    <n v="0.7"/>
    <x v="0"/>
    <s v="HSR Layout"/>
    <x v="1"/>
    <n v="0"/>
    <x v="8"/>
    <s v="HSR Layout"/>
    <s v="Plan B"/>
    <s v="12.912120631518187"/>
    <s v="77.65069759736535"/>
  </r>
  <r>
    <n v="176793394432"/>
    <x v="64"/>
    <x v="1"/>
    <x v="0"/>
    <x v="5"/>
    <n v="39.799999999999997"/>
    <s v="[{&quot;id&quot;:&quot;6ca97531-301c-4632-a58f-646d0afd9e01&quot;,&quot;super_type&quot;:&quot;SUPERTYPE_UNSPECIFIED&quot;,&quot;total_offer_discount&quot;:39.8,&quot;discount_share&quot;:{&quot;swiggy_discount&quot;:0,&quot;store_discount&quot;:39.8,&quot;alliance_discount&quot;:0},&quot;discount_type&quot;:&quot;PERCENTAGE&quot;,&quot;description&quot;:&quot;10% off&quot;,&quot;fixed_charges&quot;:{&quot;gp&quot;:{&quot;id&quot;:&quot;&quot;,&quot;final_price&quot;:0}}}]"/>
    <s v="2023-09-03 10:46:35"/>
    <s v="2023-09-03 10:46:35"/>
    <s v="21191609"/>
    <s v="Delivered"/>
    <x v="90"/>
    <s v="298606"/>
    <s v="Drunken Monkey"/>
    <s v="No.634 ground floor,5th cross,15th main ,4th block,kormangala (near chinmaya vidyalaya school),bangalore 560034"/>
    <x v="31"/>
    <s v="Bangalore"/>
    <x v="91"/>
    <x v="91"/>
    <n v="399"/>
    <n v="399"/>
    <n v="399"/>
    <n v="398"/>
    <n v="44"/>
    <s v="12.934488559072948,77.62886978481599"/>
    <x v="0"/>
    <n v="4.4000000000000004"/>
    <x v="2"/>
    <s v="Koramangala"/>
    <x v="0"/>
    <n v="0"/>
    <x v="8"/>
    <s v="Koramangala"/>
    <s v="Drunken Monkey"/>
    <s v="12.934488559072948"/>
    <s v="77.62886978481599"/>
  </r>
  <r>
    <n v="176745115332"/>
    <x v="5"/>
    <x v="1"/>
    <x v="0"/>
    <x v="5"/>
    <n v="100"/>
    <s v="[{&quot;id&quot;:&quot;f80596b9-9db2-47d0-98be-dbdde4df4855&quot;,&quot;super_type&quot;:&quot;SUPERTYPE_UNSPECIFIED&quot;,&quot;total_offer_discount&quot;:100,&quot;discount_share&quot;:{&quot;swiggy_discount&quot;:0,&quot;store_discount&quot;:100,&quot;alliance_discount&quot;:0},&quot;discount_type&quot;:&quot;PERCENTAGE&quot;,&quot;description&quot;:&quot;50% off&quot;,&quot;fixed_charges&quot;:{&quot;gp&quot;:{&quot;id&quot;:&quot;&quot;,&quot;final_price&quot;:0}}}]"/>
    <s v="2023-09-02 21:21:56"/>
    <s v="2023-09-02 21:21:56"/>
    <s v="21191609"/>
    <s v="Delivered"/>
    <x v="91"/>
    <s v="254655"/>
    <s v="Daily Sushi"/>
    <s v="No.1212, SBM Fortune, 4th Floor, 22nd Cross Road, 14th Main Rd, 3rd Sector, HSR Layout, Bengaluru, Karnataka 560102, India"/>
    <x v="14"/>
    <s v="Bangalore"/>
    <x v="92"/>
    <x v="92"/>
    <n v="359"/>
    <n v="359"/>
    <n v="359"/>
    <n v="400"/>
    <n v="36"/>
    <s v="12.909368,77.638656"/>
    <x v="0"/>
    <n v="2.1"/>
    <x v="2"/>
    <s v="HSR Layout"/>
    <x v="0"/>
    <n v="0"/>
    <x v="8"/>
    <s v="HSR Layout"/>
    <s v="Daily Sushi"/>
    <s v="12.909368"/>
    <s v="77.638656"/>
  </r>
  <r>
    <n v="176716772573"/>
    <x v="65"/>
    <x v="0"/>
    <x v="0"/>
    <x v="16"/>
    <n v="125"/>
    <s v="[{&quot;id&quot;:&quot;e7ca910b-b1f7-4fca-81aa-29bb167a90b0&quot;,&quot;super_type&quot;:&quot;SUPERTYPE_UNSPECIFIED&quot;,&quot;total_offer_discount&quot;:125,&quot;discount_share&quot;:{&quot;swiggy_discount&quot;:50,&quot;store_discount&quot;:75,&quot;alliance_discount&quot;:0},&quot;discount_type&quot;:&quot;FLAT&quot;,&quot;description&quot;:&quot;Flat ₹125 off&quot;,&quot;fixed_charges&quot;:{&quot;gp&quot;:{&quot;id&quot;:&quot;&quot;,&quot;final_price&quot;:0}}}]"/>
    <s v="2023-09-02 13:29:33"/>
    <s v="2023-09-02 13:29:33"/>
    <s v="21191609"/>
    <s v="Delivered"/>
    <x v="92"/>
    <s v="341895"/>
    <s v="Burger Seigneur"/>
    <s v="NO.35, 80FEET ROAD, HAL 3RD STAGE, BANGALORE  B.B.M.P East Karnataka 560075"/>
    <x v="32"/>
    <s v="Bangalore"/>
    <x v="93"/>
    <x v="93"/>
    <n v="356"/>
    <n v="356"/>
    <n v="356"/>
    <n v="460"/>
    <n v="34"/>
    <s v="12.97107,77.647521"/>
    <x v="3"/>
    <n v="1.5"/>
    <x v="2"/>
    <s v="Indiranagar"/>
    <x v="1"/>
    <n v="0"/>
    <x v="8"/>
    <s v="Indiranagar"/>
    <s v="Burger Seigneur"/>
    <s v="12.97107"/>
    <s v="77.647521"/>
  </r>
  <r>
    <n v="176451044220"/>
    <x v="66"/>
    <x v="0"/>
    <x v="1"/>
    <x v="1"/>
    <s v="NO OFFER"/>
    <s v="&quot;total_offer_discount&quot;:NO OFFER,"/>
    <s v="2023-08-30 11:40:45"/>
    <s v="2023-08-30 11:40:45"/>
    <s v="21191609"/>
    <s v="Delivered"/>
    <x v="93"/>
    <s v="47603"/>
    <s v="Truffles"/>
    <s v="BUNDL TECHNOLOGIES PVT LTD, 1ST FLOOR, SITE NO.164, KHATA NO.684, PID NO: 658/668/684/1/164/1, BELLANDURVILLAGE, VARTHUR HOBLI, BANGALORE EAST TALUK  560103"/>
    <x v="33"/>
    <s v="Bangalore"/>
    <x v="94"/>
    <x v="94"/>
    <n v="301"/>
    <n v="301"/>
    <n v="301"/>
    <n v="261.90996999999999"/>
    <n v="39"/>
    <s v="12.927332,77.669014"/>
    <x v="0"/>
    <n v="4.9000000000000004"/>
    <x v="2"/>
    <s v="Bellandur"/>
    <x v="0"/>
    <n v="0"/>
    <x v="9"/>
    <s v="Bellandur"/>
    <s v="Truffles"/>
    <s v="12.927332"/>
    <s v="77.669014"/>
  </r>
  <r>
    <n v="176221057630"/>
    <x v="67"/>
    <x v="0"/>
    <x v="1"/>
    <x v="1"/>
    <s v="NO OFFER"/>
    <s v="&quot;total_offer_discount&quot;:NO OFFER,"/>
    <s v="2023-08-27 19:47:38"/>
    <s v="2023-08-27 19:47:38"/>
    <s v="21191609"/>
    <s v="Delivered"/>
    <x v="94"/>
    <s v="498292"/>
    <s v="Istah - The Mediterranean Way"/>
    <s v="88/1, Ward No, 66, Swiggy Koramangala Super Hub building, Sarjapur Road, Jakkasandra Village, Bangalore 560034"/>
    <x v="17"/>
    <s v="Bangalore"/>
    <x v="95"/>
    <x v="95"/>
    <n v="164"/>
    <n v="164"/>
    <n v="164"/>
    <n v="199"/>
    <n v="41"/>
    <s v="12.925114189248388,77.6370633020997"/>
    <x v="0"/>
    <n v="3.1"/>
    <x v="2"/>
    <s v="Koramangala"/>
    <x v="0"/>
    <n v="0"/>
    <x v="9"/>
    <s v="Koramangala"/>
    <s v="Istah"/>
    <s v="12.925114189248388"/>
    <s v="77.6370633020997"/>
  </r>
  <r>
    <n v="175968970700"/>
    <x v="68"/>
    <x v="1"/>
    <x v="0"/>
    <x v="6"/>
    <n v="109.5"/>
    <s v="[{&quot;id&quot;:&quot;299a513a-6f7c-458c-86bb-38f205d6dbd9&quot;,&quot;super_type&quot;:&quot;SUPERTYPE_UNSPECIFIED&quot;,&quot;total_offer_discount&quot;:109.5,&quot;discount_share&quot;:{&quot;swiggy_discount&quot;:21.9,&quot;store_discount&quot;:87.6,&quot;alliance_discount&quot;:0},&quot;discount_type&quot;:&quot;PERCENTAGE&quot;,&quot;description&quot;:&quot;25% off&quot;,&quot;fixed_charges&quot;:{&quot;gp&quot;:{&quot;id&quot;:&quot;&quot;,&quot;final_price&quot;:0}}}]"/>
    <s v="2023-08-24 21:46:11"/>
    <s v="2023-08-24 21:46:11"/>
    <s v="21191609"/>
    <s v="cancelled"/>
    <x v="95"/>
    <s v="405903"/>
    <s v="The Thick Shake Factory"/>
    <s v="#NO.104, SHIVALAYA, 17TH C MAIN ROAD, 5TH CROSS, KORAMANGALA, 5 TH BLOCK, BANGALORE,560095,Next to Acura Speciality Hospital,pivotal 4th floor. Karnataka - 560095"/>
    <x v="4"/>
    <s v="Bangalore"/>
    <x v="24"/>
    <x v="24"/>
    <n v="369"/>
    <n v="369"/>
    <n v="369"/>
    <n v="438"/>
    <n v="55"/>
    <s v="12.935401,77.620598"/>
    <x v="1"/>
    <n v="5.4"/>
    <x v="2"/>
    <s v="Koramangala"/>
    <x v="0"/>
    <n v="0"/>
    <x v="9"/>
    <s v="Koramangala"/>
    <s v="The Thick Shake Factory"/>
    <s v="12.935401"/>
    <s v="77.620598"/>
  </r>
  <r>
    <n v="175192473312"/>
    <x v="69"/>
    <x v="0"/>
    <x v="1"/>
    <x v="1"/>
    <s v="NO OFFER"/>
    <s v="&quot;total_offer_discount&quot;:NO OFFER,"/>
    <s v="2023-08-15 22:04:33"/>
    <s v="2023-08-15 22:04:33"/>
    <s v="21191609"/>
    <s v="Delivered"/>
    <x v="96"/>
    <s v="64914"/>
    <s v="Kerala Panoor Restaurant"/>
    <s v="Devarabeesanahalli Flyover, Devarabisanahalli, Bellandur, Bengaluru, Karnataka 560103"/>
    <x v="34"/>
    <s v="Bangalore"/>
    <x v="20"/>
    <x v="20"/>
    <n v="504"/>
    <n v="504"/>
    <n v="504"/>
    <n v="465"/>
    <n v="54"/>
    <s v="12.930556,77.68499199999997"/>
    <x v="0"/>
    <n v="5"/>
    <x v="2"/>
    <s v="Bellandur"/>
    <x v="0"/>
    <n v="0"/>
    <x v="9"/>
    <s v="Bellandur"/>
    <s v="Kerala Panoor Restaurant"/>
    <s v="12.930556"/>
    <s v="77.68499199999997"/>
  </r>
  <r>
    <n v="174983850554"/>
    <x v="70"/>
    <x v="0"/>
    <x v="1"/>
    <x v="1"/>
    <s v="NO OFFER"/>
    <s v="&quot;total_offer_discount&quot;:NO OFFER,"/>
    <s v="2023-08-13 12:07:31"/>
    <s v="2023-08-13 12:07:31"/>
    <s v="21191609"/>
    <s v="Delivered"/>
    <x v="97"/>
    <s v="6907"/>
    <s v="FreshMenu"/>
    <s v="No 526/A,Ganesh Complex,Ground floor,18th Main Road,HSR 3rd sector,Bangalore:560102"/>
    <x v="14"/>
    <s v="Bangalore"/>
    <x v="96"/>
    <x v="96"/>
    <n v="477"/>
    <n v="477"/>
    <n v="477"/>
    <n v="763"/>
    <n v="25"/>
    <s v="12.9054065,77.64410799999996"/>
    <x v="3"/>
    <n v="1.8"/>
    <x v="2"/>
    <s v="HSR Layout"/>
    <x v="0"/>
    <n v="0"/>
    <x v="9"/>
    <s v="HSR Layout"/>
    <s v="FreshMenu"/>
    <s v="12.9054065"/>
    <s v="77.64410799999996"/>
  </r>
  <r>
    <n v="174647551706"/>
    <x v="71"/>
    <x v="1"/>
    <x v="0"/>
    <x v="6"/>
    <n v="119.49"/>
    <s v="[{&quot;id&quot;:&quot;6706ebc3-55e8-475e-aba5-bc6ec3ab1f6b&quot;,&quot;super_type&quot;:&quot;SUPERTYPE_UNSPECIFIED&quot;,&quot;total_offer_discount&quot;:119.49000000000001,&quot;discount_share&quot;:{&quot;swiggy_discount&quot;:23.9,&quot;store_discount&quot;:95.59,&quot;alliance_discount&quot;:0},&quot;discount_type&quot;:&quot;PERCENTAGE&quot;,&quot;description&quot;:&quot;25% off&quot;,&quot;fixed_charges&quot;:{&quot;gp&quot;:{&quot;id&quot;:&quot;&quot;,&quot;final_price&quot;:0}}}]"/>
    <s v="2023-08-09 14:42:32"/>
    <s v="2023-08-09 14:42:32"/>
    <s v="21191609"/>
    <s v="Delivered"/>
    <x v="98"/>
    <s v="405912"/>
    <s v="The Thick Shake Factory"/>
    <s v="#87, 14TH MAIN ROAD, 4TH SECTOR, OPP: _x000a_BDA COMPLEX, HSR LAYOUT BANGALORE-560102, Sangeetha mobile showroom Besment"/>
    <x v="35"/>
    <s v="Bangalore"/>
    <x v="97"/>
    <x v="97"/>
    <n v="401"/>
    <n v="401"/>
    <n v="401"/>
    <n v="478"/>
    <n v="25"/>
    <s v="12.9125116379822,77.63817068570162"/>
    <x v="3"/>
    <n v="1.7"/>
    <x v="2"/>
    <s v="HSR Layout"/>
    <x v="0"/>
    <n v="0"/>
    <x v="9"/>
    <s v="HSR Layout"/>
    <s v="The Thick Shake Factory"/>
    <s v="12.9125116379822"/>
    <s v="77.63817068570162"/>
  </r>
  <r>
    <n v="174644435956"/>
    <x v="65"/>
    <x v="0"/>
    <x v="1"/>
    <x v="1"/>
    <s v="NO OFFER"/>
    <s v="&quot;total_offer_discount&quot;:NO OFFER,"/>
    <s v="2023-08-09 13:50:36"/>
    <s v="2023-08-09 13:50:36"/>
    <s v="21191609"/>
    <s v="Delivered"/>
    <x v="83"/>
    <s v="398360"/>
    <s v="Burger Seigneur"/>
    <s v="#717, 10th main road 2nd cross Hosapalya Opposite of Subodhini English high school ITI layout sector 7."/>
    <x v="24"/>
    <s v="Bangalore"/>
    <x v="98"/>
    <x v="98"/>
    <n v="516"/>
    <n v="516"/>
    <n v="516"/>
    <n v="490"/>
    <n v="25"/>
    <s v="12.9000771,77.640061"/>
    <x v="0"/>
    <n v="2.8"/>
    <x v="2"/>
    <s v="ITI layout, Hosapalya"/>
    <x v="0"/>
    <n v="0"/>
    <x v="9"/>
    <s v="ITI layout, Hosapalya"/>
    <s v="Burger Seigneur"/>
    <s v="12.9000771"/>
    <s v="77.640061"/>
  </r>
  <r>
    <n v="174559415025"/>
    <x v="72"/>
    <x v="0"/>
    <x v="0"/>
    <x v="5"/>
    <n v="100"/>
    <s v="[{&quot;id&quot;:&quot;0fefcb58-9f41-444e-9e59-52c620b546b5&quot;,&quot;super_type&quot;:&quot;SUPERTYPE_UNSPECIFIED&quot;,&quot;total_offer_discount&quot;:100,&quot;discount_share&quot;:{&quot;swiggy_discount&quot;:25,&quot;store_discount&quot;:75,&quot;alliance_discount&quot;:0},&quot;discount_type&quot;:&quot;PERCENTAGE&quot;,&quot;description&quot;:&quot;50% off&quot;,&quot;fixed_charges&quot;:{&quot;gp&quot;:{&quot;id&quot;:&quot;&quot;,&quot;final_price&quot;:0}}}]"/>
    <s v="2023-08-08 14:13:36"/>
    <s v="2023-08-08 14:13:36"/>
    <s v="21191609"/>
    <s v="Delivered"/>
    <x v="99"/>
    <s v="394626"/>
    <s v="La Pino'z Pizza"/>
    <s v="La Pino'z Pizza, #11/50/3, Ambalipura, Village, Sarjapur - Marathahalli Rd, Bengaluru, Karnataka 560103"/>
    <x v="36"/>
    <s v="Bangalore"/>
    <x v="99"/>
    <x v="99"/>
    <n v="171"/>
    <n v="171"/>
    <n v="171"/>
    <n v="225"/>
    <n v="25"/>
    <s v="12.919644,77.667114"/>
    <x v="0"/>
    <n v="2.8"/>
    <x v="2"/>
    <s v="Bellandur"/>
    <x v="0"/>
    <n v="0"/>
    <x v="9"/>
    <s v="Bellandur"/>
    <s v="La Pino'z Pizza"/>
    <s v="12.919644"/>
    <s v="77.667114"/>
  </r>
  <r>
    <n v="174376605060"/>
    <x v="73"/>
    <x v="0"/>
    <x v="1"/>
    <x v="1"/>
    <s v="NO OFFER"/>
    <s v="&quot;total_offer_discount&quot;:NO OFFER,"/>
    <s v="2023-08-06 11:26:46"/>
    <s v="2023-08-06 11:26:46"/>
    <s v="21191609"/>
    <s v="Delivered"/>
    <x v="100"/>
    <s v="47603"/>
    <s v="Truffles"/>
    <s v="BUNDL TECHNOLOGIES PVT LTD, 1ST FLOOR, SITE NO.164, KHATA NO.684, PID NO: 658/668/684/1/164/1, BELLANDURVILLAGE, VARTHUR HOBLI, BANGALORE EAST TALUK  560103"/>
    <x v="33"/>
    <s v="Bangalore"/>
    <x v="100"/>
    <x v="100"/>
    <n v="645"/>
    <n v="645"/>
    <n v="645"/>
    <n v="523.83996999999999"/>
    <n v="35"/>
    <s v="12.927332,77.66901400000006"/>
    <x v="0"/>
    <n v="4.0999999999999996"/>
    <x v="2"/>
    <s v="Bellandur"/>
    <x v="1"/>
    <n v="0"/>
    <x v="9"/>
    <s v="Bellandur"/>
    <s v="Truffles"/>
    <s v="12.927332"/>
    <s v="77.66901400000006"/>
  </r>
  <r>
    <n v="172557699296"/>
    <x v="74"/>
    <x v="1"/>
    <x v="1"/>
    <x v="1"/>
    <s v="NO OFFER"/>
    <s v="&quot;total_offer_discount&quot;:NO OFFER,"/>
    <s v="2023-07-16 10:11:39"/>
    <s v="2023-07-16 10:11:39"/>
    <s v="21191609"/>
    <s v="Delivered"/>
    <x v="101"/>
    <s v="660675"/>
    <s v="Cafe Amudham"/>
    <s v="No. 146, 5th Block, Koramangala, Bangalore, BTM Layout , B.B.M.P South, Karnataka-560095"/>
    <x v="37"/>
    <s v="Bangalore"/>
    <x v="101"/>
    <x v="101"/>
    <n v="186"/>
    <n v="186"/>
    <n v="186"/>
    <n v="159"/>
    <n v="45"/>
    <s v="12.933842204939534,77.61976898008312"/>
    <x v="1"/>
    <n v="5.8"/>
    <x v="2"/>
    <s v="Koramangala"/>
    <x v="0"/>
    <n v="0"/>
    <x v="10"/>
    <s v="Koramangala"/>
    <s v="Cafe Amudham"/>
    <s v="12.933842204939534"/>
    <s v="77.61976898008312"/>
  </r>
  <r>
    <n v="171953923401"/>
    <x v="75"/>
    <x v="0"/>
    <x v="1"/>
    <x v="1"/>
    <s v="NO OFFER"/>
    <s v="&quot;total_offer_discount&quot;:NO OFFER,"/>
    <s v="2023-07-09 10:28:44"/>
    <s v="2023-07-09 10:28:44"/>
    <s v="21191609"/>
    <s v="Delivered"/>
    <x v="102"/>
    <s v="416272"/>
    <s v="Table for Tous"/>
    <s v="146, 2nd Floor, HSR Layout, Sector 5, Ring Road, Bangalore, BTM Layout , B.B.M.P South, Karnataka - 560102"/>
    <x v="35"/>
    <s v="Bangalore"/>
    <x v="102"/>
    <x v="102"/>
    <n v="1136"/>
    <n v="1136"/>
    <n v="1136"/>
    <n v="1050"/>
    <n v="29"/>
    <s v="12.916462690900852,77.63573539639873"/>
    <x v="3"/>
    <n v="1.7"/>
    <x v="2"/>
    <s v="HSR Layout"/>
    <x v="0"/>
    <n v="0"/>
    <x v="10"/>
    <s v="HSR Layout"/>
    <s v="Table for Tous"/>
    <s v="12.916462690900852"/>
    <s v="77.63573539639873"/>
  </r>
  <r>
    <n v="171863054117"/>
    <x v="74"/>
    <x v="1"/>
    <x v="0"/>
    <x v="5"/>
    <n v="35.799999999999997"/>
    <s v="[{&quot;id&quot;:&quot;981538f4-8587-489a-8b69-63a10fd9983e&quot;,&quot;super_type&quot;:&quot;SUPERTYPE_UNSPECIFIED&quot;,&quot;total_offer_discount&quot;:35.8,&quot;discount_share&quot;:{&quot;swiggy_discount&quot;:7.16,&quot;store_discount&quot;:28.64,&quot;alliance_discount&quot;:0},&quot;discount_type&quot;:&quot;PERCENTAGE&quot;,&quot;description&quot;:&quot;20% off&quot;,&quot;fixed_charges&quot;:{&quot;gp&quot;:{&quot;id&quot;:&quot;&quot;,&quot;final_price&quot;:0}}}]"/>
    <s v="2023-07-08 09:14:15"/>
    <s v="2023-07-08 09:14:15"/>
    <s v="21191609"/>
    <s v="Delivered"/>
    <x v="103"/>
    <s v="660675"/>
    <s v="Cafe Amudham"/>
    <s v="No. 146, 5th Block, Koramangala, Bangalore, BTM Layout , B.B.M.P South, Karnataka-560095"/>
    <x v="37"/>
    <s v="Bangalore"/>
    <x v="103"/>
    <x v="103"/>
    <n v="170"/>
    <n v="170"/>
    <n v="170"/>
    <n v="179"/>
    <n v="47"/>
    <s v="12.933842204939534,77.61976898008312"/>
    <x v="1"/>
    <n v="6"/>
    <x v="2"/>
    <s v="Koramangala"/>
    <x v="1"/>
    <n v="0"/>
    <x v="10"/>
    <s v="Koramangala"/>
    <s v="Cafe Amudham"/>
    <s v="12.933842204939534"/>
    <s v="77.619768980083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3AE832-789C-48B1-BE2F-428789CE7C91}" name="PivotTable7" cacheId="77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J13:L17" firstHeaderRow="1" firstDataRow="2" firstDataCol="1"/>
  <pivotFields count="41">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105">
        <item x="24"/>
        <item x="76"/>
        <item x="81"/>
        <item x="34"/>
        <item x="75"/>
        <item x="51"/>
        <item x="31"/>
        <item x="33"/>
        <item x="37"/>
        <item x="78"/>
        <item x="86"/>
        <item x="60"/>
        <item x="82"/>
        <item x="43"/>
        <item x="65"/>
        <item x="88"/>
        <item x="44"/>
        <item x="97"/>
        <item x="41"/>
        <item x="28"/>
        <item x="47"/>
        <item x="64"/>
        <item x="55"/>
        <item x="48"/>
        <item x="56"/>
        <item x="9"/>
        <item x="84"/>
        <item x="72"/>
        <item x="67"/>
        <item x="2"/>
        <item x="99"/>
        <item x="0"/>
        <item x="17"/>
        <item x="20"/>
        <item x="68"/>
        <item x="29"/>
        <item x="91"/>
        <item x="100"/>
        <item x="30"/>
        <item x="96"/>
        <item x="54"/>
        <item x="103"/>
        <item x="63"/>
        <item x="85"/>
        <item x="94"/>
        <item x="52"/>
        <item x="1"/>
        <item x="62"/>
        <item x="12"/>
        <item x="25"/>
        <item x="42"/>
        <item x="79"/>
        <item x="27"/>
        <item x="101"/>
        <item x="70"/>
        <item x="77"/>
        <item x="8"/>
        <item x="80"/>
        <item x="13"/>
        <item x="69"/>
        <item x="39"/>
        <item x="21"/>
        <item x="95"/>
        <item x="23"/>
        <item x="50"/>
        <item x="32"/>
        <item x="4"/>
        <item x="89"/>
        <item x="26"/>
        <item x="6"/>
        <item x="45"/>
        <item x="58"/>
        <item x="16"/>
        <item x="93"/>
        <item x="74"/>
        <item x="83"/>
        <item x="49"/>
        <item x="102"/>
        <item x="38"/>
        <item x="61"/>
        <item x="66"/>
        <item x="19"/>
        <item x="11"/>
        <item x="73"/>
        <item x="92"/>
        <item x="57"/>
        <item x="22"/>
        <item x="87"/>
        <item x="7"/>
        <item x="46"/>
        <item x="35"/>
        <item x="90"/>
        <item x="18"/>
        <item x="71"/>
        <item x="98"/>
        <item x="5"/>
        <item x="53"/>
        <item x="59"/>
        <item x="40"/>
        <item x="15"/>
        <item x="3"/>
        <item x="36"/>
        <item x="10"/>
        <item x="14"/>
        <item t="default"/>
      </items>
    </pivotField>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axis="axisCol" dataField="1" showAll="0">
      <items count="3">
        <item x="0"/>
        <item x="1"/>
        <item t="default"/>
      </items>
    </pivotField>
    <pivotField showAll="0"/>
    <pivotField numFmtId="17" showAll="0">
      <items count="12">
        <item x="10"/>
        <item x="9"/>
        <item x="8"/>
        <item x="7"/>
        <item x="6"/>
        <item x="5"/>
        <item x="4"/>
        <item x="3"/>
        <item x="2"/>
        <item x="1"/>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5">
        <item h="1" x="0"/>
        <item x="1"/>
        <item h="1" x="2"/>
        <item h="1"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5"/>
  </rowFields>
  <rowItems count="3">
    <i>
      <x/>
    </i>
    <i>
      <x v="1"/>
    </i>
    <i>
      <x v="2"/>
    </i>
  </rowItems>
  <colFields count="1">
    <field x="29"/>
  </colFields>
  <colItems count="2">
    <i>
      <x/>
    </i>
    <i>
      <x v="1"/>
    </i>
  </colItems>
  <dataFields count="1">
    <dataField name="Count of on_time" fld="29" subtotal="count" showDataAs="percentOfRow" baseField="0" baseItem="0" numFmtId="10"/>
  </dataFields>
  <formats count="3">
    <format dxfId="64">
      <pivotArea outline="0" collapsedLevelsAreSubtotals="1" fieldPosition="0"/>
    </format>
    <format dxfId="65">
      <pivotArea dataOnly="0" labelOnly="1" outline="0" axis="axisValues" fieldPosition="0"/>
    </format>
    <format dxfId="66">
      <pivotArea outline="0" fieldPosition="0">
        <references count="1">
          <reference field="4294967294" count="1">
            <x v="0"/>
          </reference>
        </references>
      </pivotArea>
    </format>
  </formats>
  <chartFormats count="2">
    <chartFormat chart="24" format="4" series="1">
      <pivotArea type="data" outline="0" fieldPosition="0">
        <references count="2">
          <reference field="4294967294" count="1" selected="0">
            <x v="0"/>
          </reference>
          <reference field="29" count="1" selected="0">
            <x v="0"/>
          </reference>
        </references>
      </pivotArea>
    </chartFormat>
    <chartFormat chart="24" format="5" series="1">
      <pivotArea type="data" outline="0" fieldPosition="0">
        <references count="2">
          <reference field="4294967294" count="1" selected="0">
            <x v="0"/>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247CE-F606-4427-B46A-AA81E45B5B1D}" name="PivotTable25" cacheId="77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J33:K71" firstHeaderRow="1" firstDataRow="1" firstDataCol="1"/>
  <pivotFields count="41">
    <pivotField numFmtId="1" showAll="0"/>
    <pivotField axis="axisRow" showAll="0">
      <items count="77">
        <item x="62"/>
        <item x="59"/>
        <item x="72"/>
        <item x="25"/>
        <item x="17"/>
        <item x="68"/>
        <item x="71"/>
        <item x="21"/>
        <item x="41"/>
        <item x="58"/>
        <item x="15"/>
        <item x="50"/>
        <item x="49"/>
        <item x="22"/>
        <item x="40"/>
        <item x="4"/>
        <item x="46"/>
        <item x="64"/>
        <item x="32"/>
        <item x="9"/>
        <item x="75"/>
        <item x="3"/>
        <item x="51"/>
        <item x="28"/>
        <item x="63"/>
        <item x="55"/>
        <item x="54"/>
        <item x="52"/>
        <item x="26"/>
        <item x="53"/>
        <item x="20"/>
        <item x="48"/>
        <item x="57"/>
        <item x="67"/>
        <item x="10"/>
        <item x="35"/>
        <item x="56"/>
        <item x="29"/>
        <item x="36"/>
        <item x="0"/>
        <item x="18"/>
        <item x="34"/>
        <item x="2"/>
        <item x="27"/>
        <item x="37"/>
        <item x="73"/>
        <item x="13"/>
        <item x="30"/>
        <item x="39"/>
        <item x="6"/>
        <item x="74"/>
        <item x="8"/>
        <item x="69"/>
        <item x="43"/>
        <item x="47"/>
        <item x="11"/>
        <item x="31"/>
        <item x="14"/>
        <item x="16"/>
        <item x="12"/>
        <item x="24"/>
        <item x="70"/>
        <item x="38"/>
        <item x="23"/>
        <item x="66"/>
        <item x="7"/>
        <item x="45"/>
        <item x="61"/>
        <item x="1"/>
        <item x="44"/>
        <item x="33"/>
        <item x="60"/>
        <item x="65"/>
        <item x="42"/>
        <item x="5"/>
        <item x="19"/>
        <item t="default"/>
      </items>
    </pivotField>
    <pivotField showAll="0">
      <items count="3">
        <item x="0"/>
        <item x="1"/>
        <item t="default"/>
      </items>
    </pivotField>
    <pivotField showAll="0"/>
    <pivotField showAll="0">
      <items count="18">
        <item x="9"/>
        <item x="3"/>
        <item x="8"/>
        <item x="7"/>
        <item x="6"/>
        <item x="10"/>
        <item x="12"/>
        <item x="4"/>
        <item x="2"/>
        <item x="1"/>
        <item x="15"/>
        <item x="14"/>
        <item x="0"/>
        <item x="5"/>
        <item x="13"/>
        <item x="16"/>
        <item x="11"/>
        <item t="default"/>
      </items>
    </pivotField>
    <pivotField showAll="0"/>
    <pivotField showAll="0"/>
    <pivotField showAll="0"/>
    <pivotField showAll="0"/>
    <pivotField showAll="0"/>
    <pivotField showAll="0"/>
    <pivotField showAll="0">
      <items count="105">
        <item h="1" x="24"/>
        <item x="95"/>
        <item x="84"/>
        <item x="88"/>
        <item x="81"/>
        <item x="28"/>
        <item x="5"/>
        <item x="14"/>
        <item x="96"/>
        <item x="87"/>
        <item x="39"/>
        <item x="33"/>
        <item x="40"/>
        <item x="99"/>
        <item x="59"/>
        <item x="38"/>
        <item x="31"/>
        <item x="46"/>
        <item x="74"/>
        <item x="42"/>
        <item x="80"/>
        <item x="79"/>
        <item x="8"/>
        <item x="44"/>
        <item x="69"/>
        <item x="10"/>
        <item x="103"/>
        <item x="97"/>
        <item x="12"/>
        <item x="70"/>
        <item x="56"/>
        <item x="64"/>
        <item x="54"/>
        <item x="67"/>
        <item x="82"/>
        <item x="48"/>
        <item x="26"/>
        <item x="20"/>
        <item x="27"/>
        <item x="1"/>
        <item x="41"/>
        <item x="35"/>
        <item x="93"/>
        <item x="30"/>
        <item x="34"/>
        <item x="73"/>
        <item x="91"/>
        <item x="43"/>
        <item x="61"/>
        <item x="89"/>
        <item x="68"/>
        <item x="15"/>
        <item x="47"/>
        <item x="100"/>
        <item x="49"/>
        <item x="0"/>
        <item x="32"/>
        <item x="6"/>
        <item x="94"/>
        <item x="75"/>
        <item x="83"/>
        <item x="57"/>
        <item x="90"/>
        <item x="13"/>
        <item x="92"/>
        <item x="77"/>
        <item x="66"/>
        <item x="45"/>
        <item x="25"/>
        <item x="78"/>
        <item x="18"/>
        <item x="3"/>
        <item x="86"/>
        <item x="55"/>
        <item x="23"/>
        <item x="2"/>
        <item x="21"/>
        <item x="7"/>
        <item x="50"/>
        <item x="85"/>
        <item x="101"/>
        <item x="76"/>
        <item x="52"/>
        <item x="71"/>
        <item x="22"/>
        <item x="11"/>
        <item x="58"/>
        <item x="65"/>
        <item x="37"/>
        <item x="17"/>
        <item x="36"/>
        <item x="60"/>
        <item x="19"/>
        <item x="98"/>
        <item x="72"/>
        <item x="29"/>
        <item x="4"/>
        <item x="16"/>
        <item x="62"/>
        <item x="63"/>
        <item x="9"/>
        <item x="51"/>
        <item x="102"/>
        <item x="53"/>
        <item t="default"/>
      </items>
    </pivotField>
    <pivotField showAll="0"/>
    <pivotField showAll="0"/>
    <pivotField showAll="0"/>
    <pivotField showAll="0">
      <items count="39">
        <item x="17"/>
        <item x="22"/>
        <item x="23"/>
        <item x="9"/>
        <item x="14"/>
        <item x="31"/>
        <item x="35"/>
        <item x="4"/>
        <item x="37"/>
        <item x="26"/>
        <item x="27"/>
        <item x="20"/>
        <item x="6"/>
        <item x="1"/>
        <item x="8"/>
        <item x="18"/>
        <item x="34"/>
        <item x="28"/>
        <item x="33"/>
        <item x="2"/>
        <item x="25"/>
        <item x="12"/>
        <item x="32"/>
        <item x="0"/>
        <item x="19"/>
        <item x="21"/>
        <item x="15"/>
        <item x="7"/>
        <item x="24"/>
        <item x="5"/>
        <item x="13"/>
        <item x="3"/>
        <item x="29"/>
        <item x="10"/>
        <item x="36"/>
        <item x="11"/>
        <item x="30"/>
        <item x="16"/>
        <item t="default"/>
      </items>
    </pivotField>
    <pivotField showAll="0"/>
    <pivotField showAll="0"/>
    <pivotField numFmtId="165" showAll="0">
      <items count="105">
        <item x="24"/>
        <item x="76"/>
        <item x="81"/>
        <item x="34"/>
        <item x="75"/>
        <item x="51"/>
        <item x="31"/>
        <item x="33"/>
        <item x="37"/>
        <item x="78"/>
        <item x="86"/>
        <item x="60"/>
        <item x="82"/>
        <item x="43"/>
        <item x="65"/>
        <item x="88"/>
        <item x="44"/>
        <item x="97"/>
        <item x="41"/>
        <item x="28"/>
        <item x="47"/>
        <item x="64"/>
        <item x="55"/>
        <item x="48"/>
        <item x="56"/>
        <item x="9"/>
        <item x="84"/>
        <item x="72"/>
        <item x="67"/>
        <item x="2"/>
        <item x="99"/>
        <item x="0"/>
        <item x="17"/>
        <item x="20"/>
        <item x="68"/>
        <item x="29"/>
        <item x="91"/>
        <item x="100"/>
        <item x="30"/>
        <item x="96"/>
        <item x="54"/>
        <item x="103"/>
        <item x="63"/>
        <item x="85"/>
        <item x="94"/>
        <item x="52"/>
        <item x="1"/>
        <item x="62"/>
        <item x="12"/>
        <item x="25"/>
        <item x="42"/>
        <item x="79"/>
        <item x="27"/>
        <item x="101"/>
        <item x="70"/>
        <item x="77"/>
        <item x="8"/>
        <item x="80"/>
        <item x="13"/>
        <item x="69"/>
        <item x="39"/>
        <item x="21"/>
        <item x="95"/>
        <item x="23"/>
        <item x="50"/>
        <item x="32"/>
        <item x="4"/>
        <item x="89"/>
        <item x="26"/>
        <item x="6"/>
        <item x="45"/>
        <item x="58"/>
        <item x="16"/>
        <item x="93"/>
        <item x="74"/>
        <item x="83"/>
        <item x="49"/>
        <item x="102"/>
        <item x="38"/>
        <item x="61"/>
        <item x="66"/>
        <item x="19"/>
        <item x="11"/>
        <item x="73"/>
        <item x="92"/>
        <item x="57"/>
        <item x="22"/>
        <item x="87"/>
        <item x="7"/>
        <item x="46"/>
        <item x="35"/>
        <item x="90"/>
        <item x="18"/>
        <item x="71"/>
        <item x="98"/>
        <item x="5"/>
        <item x="53"/>
        <item x="59"/>
        <item x="40"/>
        <item x="15"/>
        <item x="3"/>
        <item x="36"/>
        <item x="10"/>
        <item x="14"/>
        <item t="default"/>
      </items>
    </pivotField>
    <pivotField showAll="0"/>
    <pivotField showAll="0"/>
    <pivotField dataField="1" showAll="0"/>
    <pivotField showAll="0"/>
    <pivotField showAll="0"/>
    <pivotField showAll="0"/>
    <pivotField showAll="0">
      <items count="5">
        <item x="3"/>
        <item x="0"/>
        <item x="1"/>
        <item x="2"/>
        <item t="default"/>
      </items>
    </pivotField>
    <pivotField showAll="0"/>
    <pivotField showAll="0"/>
    <pivotField showAll="0"/>
    <pivotField showAll="0">
      <items count="3">
        <item x="0"/>
        <item x="1"/>
        <item t="default"/>
      </items>
    </pivotField>
    <pivotField showAll="0"/>
    <pivotField numFmtId="17" showAll="0">
      <items count="12">
        <item x="10"/>
        <item x="9"/>
        <item x="8"/>
        <item x="7"/>
        <item x="6"/>
        <item x="5"/>
        <item x="4"/>
        <item x="3"/>
        <item x="2"/>
        <item x="1"/>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x="1"/>
        <item h="1" x="2"/>
        <item h="1"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8">
    <i>
      <x/>
    </i>
    <i>
      <x v="1"/>
    </i>
    <i>
      <x v="2"/>
    </i>
    <i>
      <x v="5"/>
    </i>
    <i>
      <x v="6"/>
    </i>
    <i>
      <x v="9"/>
    </i>
    <i>
      <x v="11"/>
    </i>
    <i>
      <x v="12"/>
    </i>
    <i>
      <x v="16"/>
    </i>
    <i>
      <x v="17"/>
    </i>
    <i>
      <x v="20"/>
    </i>
    <i>
      <x v="22"/>
    </i>
    <i>
      <x v="24"/>
    </i>
    <i>
      <x v="25"/>
    </i>
    <i>
      <x v="26"/>
    </i>
    <i>
      <x v="27"/>
    </i>
    <i>
      <x v="29"/>
    </i>
    <i>
      <x v="30"/>
    </i>
    <i>
      <x v="31"/>
    </i>
    <i>
      <x v="32"/>
    </i>
    <i>
      <x v="33"/>
    </i>
    <i>
      <x v="36"/>
    </i>
    <i>
      <x v="45"/>
    </i>
    <i>
      <x v="47"/>
    </i>
    <i>
      <x v="50"/>
    </i>
    <i>
      <x v="52"/>
    </i>
    <i>
      <x v="53"/>
    </i>
    <i>
      <x v="54"/>
    </i>
    <i>
      <x v="61"/>
    </i>
    <i>
      <x v="63"/>
    </i>
    <i>
      <x v="64"/>
    </i>
    <i>
      <x v="66"/>
    </i>
    <i>
      <x v="67"/>
    </i>
    <i>
      <x v="69"/>
    </i>
    <i>
      <x v="71"/>
    </i>
    <i>
      <x v="72"/>
    </i>
    <i>
      <x v="73"/>
    </i>
    <i>
      <x v="74"/>
    </i>
  </rowItems>
  <colItems count="1">
    <i/>
  </colItems>
  <dataFields count="1">
    <dataField name="Sum of net_total" fld="21" baseField="0" baseItem="0"/>
  </dataFields>
  <formats count="3">
    <format dxfId="61">
      <pivotArea outline="0" collapsedLevelsAreSubtotals="1" fieldPosition="0"/>
    </format>
    <format dxfId="62">
      <pivotArea dataOnly="0" labelOnly="1" outline="0" axis="axisValues" fieldPosition="0"/>
    </format>
    <format dxfId="63">
      <pivotArea outline="0" collapsedLevelsAreSubtotals="1" fieldPosition="0"/>
    </format>
  </formats>
  <chartFormats count="2">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55AC51-B0F6-4CB5-92B7-8E7598BA9A62}" name="PivotTable3" cacheId="77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D3:E21" firstHeaderRow="1" firstDataRow="1" firstDataCol="1"/>
  <pivotFields count="41">
    <pivotField numFmtI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105">
        <item x="24"/>
        <item x="76"/>
        <item x="81"/>
        <item x="34"/>
        <item x="75"/>
        <item x="51"/>
        <item x="31"/>
        <item x="33"/>
        <item x="37"/>
        <item x="78"/>
        <item x="86"/>
        <item x="60"/>
        <item x="82"/>
        <item x="43"/>
        <item x="65"/>
        <item x="88"/>
        <item x="44"/>
        <item x="97"/>
        <item x="41"/>
        <item x="28"/>
        <item x="47"/>
        <item x="64"/>
        <item x="55"/>
        <item x="48"/>
        <item x="56"/>
        <item x="9"/>
        <item x="84"/>
        <item x="72"/>
        <item x="67"/>
        <item x="2"/>
        <item x="99"/>
        <item x="0"/>
        <item x="17"/>
        <item x="20"/>
        <item x="68"/>
        <item x="29"/>
        <item x="91"/>
        <item x="100"/>
        <item x="30"/>
        <item x="96"/>
        <item x="54"/>
        <item x="103"/>
        <item x="63"/>
        <item x="85"/>
        <item x="94"/>
        <item x="52"/>
        <item x="1"/>
        <item x="62"/>
        <item x="12"/>
        <item x="25"/>
        <item x="42"/>
        <item x="79"/>
        <item x="27"/>
        <item x="101"/>
        <item x="70"/>
        <item x="77"/>
        <item x="8"/>
        <item x="80"/>
        <item x="13"/>
        <item x="69"/>
        <item x="39"/>
        <item x="21"/>
        <item x="95"/>
        <item x="23"/>
        <item x="50"/>
        <item x="32"/>
        <item x="4"/>
        <item x="89"/>
        <item x="26"/>
        <item x="6"/>
        <item x="45"/>
        <item x="58"/>
        <item x="16"/>
        <item x="93"/>
        <item x="74"/>
        <item x="83"/>
        <item x="49"/>
        <item x="102"/>
        <item x="38"/>
        <item x="61"/>
        <item x="66"/>
        <item x="19"/>
        <item x="11"/>
        <item x="73"/>
        <item x="92"/>
        <item x="57"/>
        <item x="22"/>
        <item x="87"/>
        <item x="7"/>
        <item x="46"/>
        <item x="35"/>
        <item x="90"/>
        <item x="18"/>
        <item x="71"/>
        <item x="98"/>
        <item x="5"/>
        <item x="53"/>
        <item x="59"/>
        <item x="40"/>
        <item x="15"/>
        <item x="3"/>
        <item x="36"/>
        <item x="10"/>
        <item x="1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axis="axisRow" numFmtId="17" showAll="0">
      <items count="12">
        <item x="10"/>
        <item x="9"/>
        <item x="8"/>
        <item x="7"/>
        <item x="6"/>
        <item x="5"/>
        <item x="4"/>
        <item x="3"/>
        <item x="2"/>
        <item x="1"/>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h="1" sd="0" x="2"/>
        <item h="1" sd="0"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31"/>
    <field x="2"/>
  </rowFields>
  <rowItems count="18">
    <i>
      <x/>
    </i>
    <i r="1">
      <x/>
    </i>
    <i r="1">
      <x v="1"/>
    </i>
    <i>
      <x v="1"/>
    </i>
    <i r="1">
      <x/>
    </i>
    <i r="1">
      <x v="1"/>
    </i>
    <i>
      <x v="2"/>
    </i>
    <i r="1">
      <x/>
    </i>
    <i r="1">
      <x v="1"/>
    </i>
    <i>
      <x v="3"/>
    </i>
    <i r="1">
      <x/>
    </i>
    <i r="1">
      <x v="1"/>
    </i>
    <i>
      <x v="4"/>
    </i>
    <i r="1">
      <x/>
    </i>
    <i r="1">
      <x v="1"/>
    </i>
    <i>
      <x v="5"/>
    </i>
    <i r="1">
      <x/>
    </i>
    <i r="1">
      <x v="1"/>
    </i>
  </rowItems>
  <colItems count="1">
    <i/>
  </colItems>
  <dataFields count="1">
    <dataField name="Sum of net_total" fld="21" baseField="0" baseItem="0"/>
  </dataFields>
  <formats count="2">
    <format dxfId="59">
      <pivotArea outline="0" collapsedLevelsAreSubtotals="1" fieldPosition="0"/>
    </format>
    <format dxfId="60">
      <pivotArea dataOnly="0" labelOnly="1" outline="0" axis="axisValues" fieldPosition="0"/>
    </format>
  </format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402AF8-D92A-4EB9-AC18-1C6FB4DE6443}" name="PivotTable4" cacheId="77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G6:H28" firstHeaderRow="1" firstDataRow="1" firstDataCol="1"/>
  <pivotFields count="41">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items count="39">
        <item x="17"/>
        <item x="22"/>
        <item x="23"/>
        <item x="9"/>
        <item x="14"/>
        <item x="31"/>
        <item x="35"/>
        <item x="4"/>
        <item x="37"/>
        <item x="26"/>
        <item x="27"/>
        <item x="20"/>
        <item x="6"/>
        <item x="1"/>
        <item x="8"/>
        <item x="18"/>
        <item x="34"/>
        <item x="28"/>
        <item x="33"/>
        <item x="2"/>
        <item x="25"/>
        <item x="12"/>
        <item x="32"/>
        <item x="0"/>
        <item x="19"/>
        <item x="21"/>
        <item x="15"/>
        <item x="7"/>
        <item x="24"/>
        <item x="5"/>
        <item x="13"/>
        <item x="3"/>
        <item x="29"/>
        <item x="10"/>
        <item x="36"/>
        <item x="11"/>
        <item x="30"/>
        <item x="16"/>
        <item t="default"/>
      </items>
    </pivotField>
    <pivotField showAll="0"/>
    <pivotField showAll="0"/>
    <pivotField numFmtId="165" showAll="0">
      <items count="105">
        <item x="24"/>
        <item x="76"/>
        <item x="81"/>
        <item x="34"/>
        <item x="75"/>
        <item x="51"/>
        <item x="31"/>
        <item x="33"/>
        <item x="37"/>
        <item x="78"/>
        <item x="86"/>
        <item x="60"/>
        <item x="82"/>
        <item x="43"/>
        <item x="65"/>
        <item x="88"/>
        <item x="44"/>
        <item x="97"/>
        <item x="41"/>
        <item x="28"/>
        <item x="47"/>
        <item x="64"/>
        <item x="55"/>
        <item x="48"/>
        <item x="56"/>
        <item x="9"/>
        <item x="84"/>
        <item x="72"/>
        <item x="67"/>
        <item x="2"/>
        <item x="99"/>
        <item x="0"/>
        <item x="17"/>
        <item x="20"/>
        <item x="68"/>
        <item x="29"/>
        <item x="91"/>
        <item x="100"/>
        <item x="30"/>
        <item x="96"/>
        <item x="54"/>
        <item x="103"/>
        <item x="63"/>
        <item x="85"/>
        <item x="94"/>
        <item x="52"/>
        <item x="1"/>
        <item x="62"/>
        <item x="12"/>
        <item x="25"/>
        <item x="42"/>
        <item x="79"/>
        <item x="27"/>
        <item x="101"/>
        <item x="70"/>
        <item x="77"/>
        <item x="8"/>
        <item x="80"/>
        <item x="13"/>
        <item x="69"/>
        <item x="39"/>
        <item x="21"/>
        <item x="95"/>
        <item x="23"/>
        <item x="50"/>
        <item x="32"/>
        <item x="4"/>
        <item x="89"/>
        <item x="26"/>
        <item x="6"/>
        <item x="45"/>
        <item x="58"/>
        <item x="16"/>
        <item x="93"/>
        <item x="74"/>
        <item x="83"/>
        <item x="49"/>
        <item x="102"/>
        <item x="38"/>
        <item x="61"/>
        <item x="66"/>
        <item x="19"/>
        <item x="11"/>
        <item x="73"/>
        <item x="92"/>
        <item x="57"/>
        <item x="22"/>
        <item x="87"/>
        <item x="7"/>
        <item x="46"/>
        <item x="35"/>
        <item x="90"/>
        <item x="18"/>
        <item x="71"/>
        <item x="98"/>
        <item x="5"/>
        <item x="53"/>
        <item x="59"/>
        <item x="40"/>
        <item x="15"/>
        <item x="3"/>
        <item x="36"/>
        <item x="10"/>
        <item x="1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7" showAll="0">
      <items count="12">
        <item x="10"/>
        <item x="9"/>
        <item x="8"/>
        <item x="7"/>
        <item x="6"/>
        <item x="5"/>
        <item x="4"/>
        <item x="3"/>
        <item x="2"/>
        <item x="1"/>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x="1"/>
        <item h="1" x="2"/>
        <item h="1"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22">
    <i>
      <x/>
    </i>
    <i>
      <x v="1"/>
    </i>
    <i>
      <x v="4"/>
    </i>
    <i>
      <x v="5"/>
    </i>
    <i>
      <x v="6"/>
    </i>
    <i>
      <x v="7"/>
    </i>
    <i>
      <x v="8"/>
    </i>
    <i>
      <x v="9"/>
    </i>
    <i>
      <x v="10"/>
    </i>
    <i>
      <x v="12"/>
    </i>
    <i>
      <x v="15"/>
    </i>
    <i>
      <x v="16"/>
    </i>
    <i>
      <x v="17"/>
    </i>
    <i>
      <x v="18"/>
    </i>
    <i>
      <x v="20"/>
    </i>
    <i>
      <x v="21"/>
    </i>
    <i>
      <x v="22"/>
    </i>
    <i>
      <x v="24"/>
    </i>
    <i>
      <x v="28"/>
    </i>
    <i>
      <x v="32"/>
    </i>
    <i>
      <x v="34"/>
    </i>
    <i>
      <x v="36"/>
    </i>
  </rowItems>
  <colItems count="1">
    <i/>
  </colItems>
  <dataFields count="1">
    <dataField name="Sum of net_total" fld="21" baseField="0" baseItem="0"/>
  </dataFields>
  <formats count="2">
    <format dxfId="57">
      <pivotArea outline="0" collapsedLevelsAreSubtotals="1" fieldPosition="0"/>
    </format>
    <format dxfId="58">
      <pivotArea dataOnly="0" labelOnly="1" outline="0" axis="axisValues" fieldPosition="0"/>
    </format>
  </formats>
  <chartFormats count="1">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D03CDA-272A-4E0E-8FE3-EF5B6AECAB4E}" name="PivotTable1" cacheId="77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6:B8" firstHeaderRow="1" firstDataRow="1" firstDataCol="1"/>
  <pivotFields count="41">
    <pivotField dataField="1" numFmtId="1"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105">
        <item x="24"/>
        <item x="76"/>
        <item x="81"/>
        <item x="34"/>
        <item x="75"/>
        <item x="51"/>
        <item x="31"/>
        <item x="33"/>
        <item x="37"/>
        <item x="78"/>
        <item x="86"/>
        <item x="60"/>
        <item x="82"/>
        <item x="43"/>
        <item x="65"/>
        <item x="88"/>
        <item x="44"/>
        <item x="97"/>
        <item x="41"/>
        <item x="28"/>
        <item x="47"/>
        <item x="64"/>
        <item x="55"/>
        <item x="48"/>
        <item x="56"/>
        <item x="9"/>
        <item x="84"/>
        <item x="72"/>
        <item x="67"/>
        <item x="2"/>
        <item x="99"/>
        <item x="0"/>
        <item x="17"/>
        <item x="20"/>
        <item x="68"/>
        <item x="29"/>
        <item x="91"/>
        <item x="100"/>
        <item x="30"/>
        <item x="96"/>
        <item x="54"/>
        <item x="103"/>
        <item x="63"/>
        <item x="85"/>
        <item x="94"/>
        <item x="52"/>
        <item x="1"/>
        <item x="62"/>
        <item x="12"/>
        <item x="25"/>
        <item x="42"/>
        <item x="79"/>
        <item x="27"/>
        <item x="101"/>
        <item x="70"/>
        <item x="77"/>
        <item x="8"/>
        <item x="80"/>
        <item x="13"/>
        <item x="69"/>
        <item x="39"/>
        <item x="21"/>
        <item x="95"/>
        <item x="23"/>
        <item x="50"/>
        <item x="32"/>
        <item x="4"/>
        <item x="89"/>
        <item x="26"/>
        <item x="6"/>
        <item x="45"/>
        <item x="58"/>
        <item x="16"/>
        <item x="93"/>
        <item x="74"/>
        <item x="83"/>
        <item x="49"/>
        <item x="102"/>
        <item x="38"/>
        <item x="61"/>
        <item x="66"/>
        <item x="19"/>
        <item x="11"/>
        <item x="73"/>
        <item x="92"/>
        <item x="57"/>
        <item x="22"/>
        <item x="87"/>
        <item x="7"/>
        <item x="46"/>
        <item x="35"/>
        <item x="90"/>
        <item x="18"/>
        <item x="71"/>
        <item x="98"/>
        <item x="5"/>
        <item x="53"/>
        <item x="59"/>
        <item x="40"/>
        <item x="15"/>
        <item x="3"/>
        <item x="36"/>
        <item x="10"/>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7" showAll="0">
      <items count="12">
        <item x="10"/>
        <item x="9"/>
        <item x="8"/>
        <item x="7"/>
        <item x="6"/>
        <item x="5"/>
        <item x="4"/>
        <item x="3"/>
        <item x="2"/>
        <item x="1"/>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x="1"/>
        <item h="1" x="2"/>
        <item h="1"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x v="1"/>
    </i>
  </rowItems>
  <colItems count="1">
    <i/>
  </colItems>
  <dataFields count="1">
    <dataField name="Count of order_id" fld="0" subtotal="count" baseField="0" baseItem="0"/>
  </dataFields>
  <formats count="2">
    <format dxfId="55">
      <pivotArea outline="0" collapsedLevelsAreSubtotals="1" fieldPosition="0"/>
    </format>
    <format dxfId="56">
      <pivotArea dataOnly="0" labelOnly="1" outline="0" axis="axisValues" fieldPosition="0"/>
    </format>
  </formats>
  <chartFormats count="3">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3" count="1" selected="0">
            <x v="0"/>
          </reference>
        </references>
      </pivotArea>
    </chartFormat>
    <chartFormat chart="2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98B6EA-79B7-4444-90B8-3D9AE961EE9D}" name="PivotTable6" cacheId="77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22:B24" firstHeaderRow="1" firstDataRow="1" firstDataCol="1"/>
  <pivotFields count="41">
    <pivotField dataField="1"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5">
        <item x="24"/>
        <item x="76"/>
        <item x="81"/>
        <item x="34"/>
        <item x="75"/>
        <item x="51"/>
        <item x="31"/>
        <item x="33"/>
        <item x="37"/>
        <item x="78"/>
        <item x="86"/>
        <item x="60"/>
        <item x="82"/>
        <item x="43"/>
        <item x="65"/>
        <item x="88"/>
        <item x="44"/>
        <item x="97"/>
        <item x="41"/>
        <item x="28"/>
        <item x="47"/>
        <item x="64"/>
        <item x="55"/>
        <item x="48"/>
        <item x="56"/>
        <item x="9"/>
        <item x="84"/>
        <item x="72"/>
        <item x="67"/>
        <item x="2"/>
        <item x="99"/>
        <item x="0"/>
        <item x="17"/>
        <item x="20"/>
        <item x="68"/>
        <item x="29"/>
        <item x="91"/>
        <item x="100"/>
        <item x="30"/>
        <item x="96"/>
        <item x="54"/>
        <item x="103"/>
        <item x="63"/>
        <item x="85"/>
        <item x="94"/>
        <item x="52"/>
        <item x="1"/>
        <item x="62"/>
        <item x="12"/>
        <item x="25"/>
        <item x="42"/>
        <item x="79"/>
        <item x="27"/>
        <item x="101"/>
        <item x="70"/>
        <item x="77"/>
        <item x="8"/>
        <item x="80"/>
        <item x="13"/>
        <item x="69"/>
        <item x="39"/>
        <item x="21"/>
        <item x="95"/>
        <item x="23"/>
        <item x="50"/>
        <item x="32"/>
        <item x="4"/>
        <item x="89"/>
        <item x="26"/>
        <item x="6"/>
        <item x="45"/>
        <item x="58"/>
        <item x="16"/>
        <item x="93"/>
        <item x="74"/>
        <item x="83"/>
        <item x="49"/>
        <item x="102"/>
        <item x="38"/>
        <item x="61"/>
        <item x="66"/>
        <item x="19"/>
        <item x="11"/>
        <item x="73"/>
        <item x="92"/>
        <item x="57"/>
        <item x="22"/>
        <item x="87"/>
        <item x="7"/>
        <item x="46"/>
        <item x="35"/>
        <item x="90"/>
        <item x="18"/>
        <item x="71"/>
        <item x="98"/>
        <item x="5"/>
        <item x="53"/>
        <item x="59"/>
        <item x="40"/>
        <item x="15"/>
        <item x="3"/>
        <item x="36"/>
        <item x="10"/>
        <item x="14"/>
        <item t="default"/>
      </items>
    </pivotField>
    <pivotField numFmtId="165" showAll="0">
      <items count="105">
        <item x="24"/>
        <item x="76"/>
        <item x="81"/>
        <item x="34"/>
        <item x="75"/>
        <item x="51"/>
        <item x="31"/>
        <item x="33"/>
        <item x="37"/>
        <item x="78"/>
        <item x="86"/>
        <item x="60"/>
        <item x="82"/>
        <item x="43"/>
        <item x="65"/>
        <item x="88"/>
        <item x="44"/>
        <item x="97"/>
        <item x="41"/>
        <item x="28"/>
        <item x="47"/>
        <item x="64"/>
        <item x="55"/>
        <item x="48"/>
        <item x="56"/>
        <item x="9"/>
        <item x="84"/>
        <item x="72"/>
        <item x="67"/>
        <item x="2"/>
        <item x="99"/>
        <item x="0"/>
        <item x="17"/>
        <item x="20"/>
        <item x="68"/>
        <item x="29"/>
        <item x="91"/>
        <item x="100"/>
        <item x="30"/>
        <item x="96"/>
        <item x="54"/>
        <item x="103"/>
        <item x="63"/>
        <item x="85"/>
        <item x="94"/>
        <item x="52"/>
        <item x="1"/>
        <item x="62"/>
        <item x="12"/>
        <item x="25"/>
        <item x="42"/>
        <item x="79"/>
        <item x="27"/>
        <item x="101"/>
        <item x="70"/>
        <item x="77"/>
        <item x="8"/>
        <item x="80"/>
        <item x="13"/>
        <item x="69"/>
        <item x="39"/>
        <item x="21"/>
        <item x="95"/>
        <item x="23"/>
        <item x="50"/>
        <item x="32"/>
        <item x="4"/>
        <item x="89"/>
        <item x="26"/>
        <item x="6"/>
        <item x="45"/>
        <item x="58"/>
        <item x="16"/>
        <item x="93"/>
        <item x="74"/>
        <item x="83"/>
        <item x="49"/>
        <item x="102"/>
        <item x="38"/>
        <item x="61"/>
        <item x="66"/>
        <item x="19"/>
        <item x="11"/>
        <item x="73"/>
        <item x="92"/>
        <item x="57"/>
        <item x="22"/>
        <item x="87"/>
        <item x="7"/>
        <item x="46"/>
        <item x="35"/>
        <item x="90"/>
        <item x="18"/>
        <item x="71"/>
        <item x="98"/>
        <item x="5"/>
        <item x="53"/>
        <item x="59"/>
        <item x="40"/>
        <item x="15"/>
        <item x="3"/>
        <item x="36"/>
        <item x="10"/>
        <item x="14"/>
        <item t="default"/>
      </items>
    </pivotField>
    <pivotField showAll="0"/>
    <pivotField showAll="0"/>
    <pivotField showAll="0"/>
    <pivotField showAll="0"/>
    <pivotField showAll="0"/>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7" showAll="0">
      <items count="12">
        <item x="10"/>
        <item x="9"/>
        <item x="8"/>
        <item x="7"/>
        <item x="6"/>
        <item x="5"/>
        <item x="4"/>
        <item x="3"/>
        <item x="2"/>
        <item x="1"/>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h="1" sd="0" x="2"/>
        <item h="1" sd="0"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7"/>
  </rowFields>
  <rowItems count="2">
    <i>
      <x v="2"/>
    </i>
    <i>
      <x v="1"/>
    </i>
  </rowItems>
  <colItems count="1">
    <i/>
  </colItems>
  <dataFields count="1">
    <dataField name="Count of order_id" fld="0" subtotal="count" baseField="18" baseItem="0"/>
  </dataFields>
  <formats count="3">
    <format dxfId="52">
      <pivotArea outline="0" collapsedLevelsAreSubtotals="1" fieldPosition="0"/>
    </format>
    <format dxfId="53">
      <pivotArea dataOnly="0" labelOnly="1" outline="0" axis="axisValues" fieldPosition="0"/>
    </format>
    <format dxfId="54">
      <pivotArea field="17"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F66DBD-6CDC-4203-B74C-D5F2D5BF47EC}" name="PivotTable8" cacheId="77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M21:N35" firstHeaderRow="1" firstDataRow="1" firstDataCol="1"/>
  <pivotFields count="41">
    <pivotField numFmtId="1" showAll="0"/>
    <pivotField showAll="0"/>
    <pivotField showAll="0">
      <items count="3">
        <item x="0"/>
        <item x="1"/>
        <item t="default"/>
      </items>
    </pivotField>
    <pivotField showAll="0"/>
    <pivotField axis="axisRow" showAll="0" sortType="descending">
      <items count="18">
        <item x="9"/>
        <item x="3"/>
        <item x="8"/>
        <item x="7"/>
        <item x="6"/>
        <item x="10"/>
        <item x="12"/>
        <item x="4"/>
        <item x="2"/>
        <item x="1"/>
        <item x="15"/>
        <item x="14"/>
        <item x="0"/>
        <item x="5"/>
        <item x="13"/>
        <item x="16"/>
        <item x="1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105">
        <item h="1" x="24"/>
        <item x="95"/>
        <item x="84"/>
        <item x="88"/>
        <item x="81"/>
        <item x="28"/>
        <item x="5"/>
        <item x="14"/>
        <item x="96"/>
        <item x="87"/>
        <item x="39"/>
        <item x="33"/>
        <item x="40"/>
        <item x="99"/>
        <item x="59"/>
        <item x="38"/>
        <item x="31"/>
        <item x="46"/>
        <item x="74"/>
        <item x="42"/>
        <item x="80"/>
        <item x="79"/>
        <item x="8"/>
        <item x="44"/>
        <item x="69"/>
        <item x="10"/>
        <item x="103"/>
        <item x="97"/>
        <item x="12"/>
        <item x="70"/>
        <item x="56"/>
        <item x="64"/>
        <item x="54"/>
        <item x="67"/>
        <item x="82"/>
        <item x="48"/>
        <item x="26"/>
        <item x="20"/>
        <item x="27"/>
        <item x="1"/>
        <item x="41"/>
        <item x="35"/>
        <item x="93"/>
        <item x="30"/>
        <item x="34"/>
        <item x="73"/>
        <item x="91"/>
        <item x="43"/>
        <item x="61"/>
        <item x="89"/>
        <item x="68"/>
        <item x="15"/>
        <item x="47"/>
        <item x="100"/>
        <item x="49"/>
        <item x="0"/>
        <item x="32"/>
        <item x="6"/>
        <item x="94"/>
        <item x="75"/>
        <item x="83"/>
        <item x="57"/>
        <item x="90"/>
        <item x="13"/>
        <item x="92"/>
        <item x="77"/>
        <item x="66"/>
        <item x="45"/>
        <item x="25"/>
        <item x="78"/>
        <item x="18"/>
        <item x="3"/>
        <item x="86"/>
        <item x="55"/>
        <item x="23"/>
        <item x="2"/>
        <item x="21"/>
        <item x="7"/>
        <item x="50"/>
        <item x="85"/>
        <item x="101"/>
        <item x="76"/>
        <item x="52"/>
        <item x="71"/>
        <item x="22"/>
        <item x="11"/>
        <item x="58"/>
        <item x="65"/>
        <item x="37"/>
        <item x="17"/>
        <item x="36"/>
        <item x="60"/>
        <item x="19"/>
        <item x="98"/>
        <item x="72"/>
        <item x="29"/>
        <item x="4"/>
        <item x="16"/>
        <item x="62"/>
        <item x="63"/>
        <item x="9"/>
        <item x="51"/>
        <item x="102"/>
        <item x="53"/>
        <item t="default"/>
      </items>
    </pivotField>
    <pivotField showAll="0"/>
    <pivotField showAll="0"/>
    <pivotField showAll="0"/>
    <pivotField showAll="0"/>
    <pivotField showAll="0"/>
    <pivotField showAll="0"/>
    <pivotField numFmtId="165" showAll="0">
      <items count="105">
        <item x="24"/>
        <item x="76"/>
        <item x="81"/>
        <item x="34"/>
        <item x="75"/>
        <item x="51"/>
        <item x="31"/>
        <item x="33"/>
        <item x="37"/>
        <item x="78"/>
        <item x="86"/>
        <item x="60"/>
        <item x="82"/>
        <item x="43"/>
        <item x="65"/>
        <item x="88"/>
        <item x="44"/>
        <item x="97"/>
        <item x="41"/>
        <item x="28"/>
        <item x="47"/>
        <item x="64"/>
        <item x="55"/>
        <item x="48"/>
        <item x="56"/>
        <item x="9"/>
        <item x="84"/>
        <item x="72"/>
        <item x="67"/>
        <item x="2"/>
        <item x="99"/>
        <item x="0"/>
        <item x="17"/>
        <item x="20"/>
        <item x="68"/>
        <item x="29"/>
        <item x="91"/>
        <item x="100"/>
        <item x="30"/>
        <item x="96"/>
        <item x="54"/>
        <item x="103"/>
        <item x="63"/>
        <item x="85"/>
        <item x="94"/>
        <item x="52"/>
        <item x="1"/>
        <item x="62"/>
        <item x="12"/>
        <item x="25"/>
        <item x="42"/>
        <item x="79"/>
        <item x="27"/>
        <item x="101"/>
        <item x="70"/>
        <item x="77"/>
        <item x="8"/>
        <item x="80"/>
        <item x="13"/>
        <item x="69"/>
        <item x="39"/>
        <item x="21"/>
        <item x="95"/>
        <item x="23"/>
        <item x="50"/>
        <item x="32"/>
        <item x="4"/>
        <item x="89"/>
        <item x="26"/>
        <item x="6"/>
        <item x="45"/>
        <item x="58"/>
        <item x="16"/>
        <item x="93"/>
        <item x="74"/>
        <item x="83"/>
        <item x="49"/>
        <item x="102"/>
        <item x="38"/>
        <item x="61"/>
        <item x="66"/>
        <item x="19"/>
        <item x="11"/>
        <item x="73"/>
        <item x="92"/>
        <item x="57"/>
        <item x="22"/>
        <item x="87"/>
        <item x="7"/>
        <item x="46"/>
        <item x="35"/>
        <item x="90"/>
        <item x="18"/>
        <item x="71"/>
        <item x="98"/>
        <item x="5"/>
        <item x="53"/>
        <item x="59"/>
        <item x="40"/>
        <item x="15"/>
        <item x="3"/>
        <item x="36"/>
        <item x="10"/>
        <item x="14"/>
        <item t="default"/>
      </items>
    </pivotField>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items count="3">
        <item x="0"/>
        <item x="1"/>
        <item t="default"/>
      </items>
    </pivotField>
    <pivotField showAll="0"/>
    <pivotField numFmtId="17" showAll="0">
      <items count="12">
        <item x="10"/>
        <item x="9"/>
        <item x="8"/>
        <item x="7"/>
        <item x="6"/>
        <item x="5"/>
        <item x="4"/>
        <item x="3"/>
        <item x="2"/>
        <item x="1"/>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x="1"/>
        <item h="1" x="2"/>
        <item h="1"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4">
    <i>
      <x v="16"/>
    </i>
    <i>
      <x v="13"/>
    </i>
    <i>
      <x v="10"/>
    </i>
    <i>
      <x v="12"/>
    </i>
    <i>
      <x v="4"/>
    </i>
    <i>
      <x/>
    </i>
    <i>
      <x v="8"/>
    </i>
    <i>
      <x v="15"/>
    </i>
    <i>
      <x v="3"/>
    </i>
    <i>
      <x v="6"/>
    </i>
    <i>
      <x v="11"/>
    </i>
    <i>
      <x v="14"/>
    </i>
    <i>
      <x v="5"/>
    </i>
    <i>
      <x v="9"/>
    </i>
  </rowItems>
  <colItems count="1">
    <i/>
  </colItems>
  <dataFields count="1">
    <dataField name="Sum of Discount _amount" fld="5" baseField="4" baseItem="7" numFmtId="1"/>
  </dataFields>
  <formats count="3">
    <format dxfId="49">
      <pivotArea outline="0" collapsedLevelsAreSubtotals="1" fieldPosition="0"/>
    </format>
    <format dxfId="50">
      <pivotArea dataOnly="0" labelOnly="1" outline="0" axis="axisValues" fieldPosition="0"/>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_Start" xr10:uid="{EFCC64EA-F8D2-4025-AFD0-C4877F2C9C01}" sourceName="Years (Month Start)">
  <pivotTables>
    <pivotTable tabId="24" name="PivotTable1"/>
    <pivotTable tabId="24" name="PivotTable3"/>
    <pivotTable tabId="24" name="PivotTable4"/>
    <pivotTable tabId="24" name="PivotTable6"/>
    <pivotTable tabId="24" name="PivotTable7"/>
    <pivotTable tabId="24" name="PivotTable8"/>
    <pivotTable tabId="24" name="PivotTable25"/>
  </pivotTables>
  <data>
    <tabular pivotCacheId="645173179">
      <items count="4">
        <i x="1" s="1"/>
        <i x="2"/>
        <i x="0"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Month Start)" xr10:uid="{2026C1DD-94A9-4E54-9166-12F871D474AA}" cache="Slicer_Years__Month_Start" caption="Years (Month Start)" showCaption="0" style="SlicerStyleLight4"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2094D7-47CA-450D-88E0-7F459CE9C314}" name="Table1" displayName="Table1" ref="A1:E171" totalsRowShown="0" headerRowDxfId="48" dataDxfId="47" tableBorderDxfId="46">
  <autoFilter ref="A1:E171" xr:uid="{872094D7-47CA-450D-88E0-7F459CE9C314}"/>
  <tableColumns count="5">
    <tableColumn id="1" xr3:uid="{91D379B4-0B37-4F0F-AD0F-ACB86CD58ACC}" name="order_id" dataDxfId="45"/>
    <tableColumn id="2" xr3:uid="{B950956E-E28E-4023-8EE9-943347487C5F}" name="order_items.name" dataDxfId="44"/>
    <tableColumn id="3" xr3:uid="{FB2DCF34-612B-453E-9405-3581BD0245C5}" name="order_items.is_veg" dataDxfId="43"/>
    <tableColumn id="4" xr3:uid="{17272B70-E075-4285-883F-A1713905DB17}" name="order_items.quantity" dataDxfId="42"/>
    <tableColumn id="5" xr3:uid="{066F648F-6007-4AAF-95C7-932D0FDFE2B3}" name="Category" dataDxfId="41">
      <calculatedColumnFormula>IF(C2=0,"Non_Veg","Veg")</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3A170D-4CBB-4D3D-820E-B8DCCCB827D4}" name="Table2" displayName="Table2" ref="A1:AJ108" totalsRowShown="0" headerRowDxfId="40" dataDxfId="39" headerRowBorderDxfId="38">
  <autoFilter ref="A1:AJ108" xr:uid="{B13A170D-4CBB-4D3D-820E-B8DCCCB827D4}"/>
  <tableColumns count="36">
    <tableColumn id="1" xr3:uid="{7EF3E176-0714-43DF-AFAB-3BD00B154FE3}" name="order_id" dataDxfId="37"/>
    <tableColumn id="34" xr3:uid="{9B9E13A8-2195-4878-8AAA-20AD56E62A67}" name="name of the food" dataDxfId="36">
      <calculatedColumnFormula>_xlfn.XLOOKUP(Table2[[#This Row],[order_id]],swiggy_order_items!A2:A171,swiggy_order_items!B2:B171)</calculatedColumnFormula>
    </tableColumn>
    <tableColumn id="37" xr3:uid="{3863796A-FD94-4BB6-959B-DD869F15CE72}" name="veg or non_veg" dataDxfId="35">
      <calculatedColumnFormula>_xlfn.XLOOKUP(Table2[[#This Row],[name of the food]],swiggy_order_items!B2:B171,swiggy_order_items!E2:E171)</calculatedColumnFormula>
    </tableColumn>
    <tableColumn id="2" xr3:uid="{D412FD1F-D279-4C7E-BC77-59E3A7A82B9C}" name="is_coupon_applied" dataDxfId="34"/>
    <tableColumn id="3" xr3:uid="{480A6943-AB4C-4232-AF0A-68F7A8B48339}" name="coupon_applied" dataDxfId="33"/>
    <tableColumn id="41" xr3:uid="{74340CE5-CCAC-45B3-96BD-5F490BB0A012}" name="Discount _amount" dataDxfId="32">
      <calculatedColumnFormula>IFERROR(TRUNC((_xlfn.TEXTBEFORE(_xlfn.TEXTAFTER(G2,"""total_offer_discount"":"),",")),2),"NO OFFER")</calculatedColumnFormula>
    </tableColumn>
    <tableColumn id="4" xr3:uid="{9C869C10-BE79-436E-A2EA-6539483EC366}" name="offers_data" dataDxfId="31"/>
    <tableColumn id="5" xr3:uid="{6B6500D1-996D-4FD4-A6A3-339F3E255AC1}" name="order_time" dataDxfId="30"/>
    <tableColumn id="6" xr3:uid="{9D420EAE-4FCD-4E88-A91A-1EE8F3311829}" name="confirmed_time" dataDxfId="29"/>
    <tableColumn id="7" xr3:uid="{4BC3684D-0B61-4993-A841-B5827D2141DF}" name="customer_id" dataDxfId="28"/>
    <tableColumn id="8" xr3:uid="{A10EC1DA-DD95-434E-B9CB-92A34F7AC1C8}" name="order_status" dataDxfId="27"/>
    <tableColumn id="9" xr3:uid="{352F46EE-500B-41F7-B77B-AF3D0C5E0807}" name="delivery_boy.name" dataDxfId="26"/>
    <tableColumn id="10" xr3:uid="{1866AD00-3B4F-492E-A75D-F8771B2D7627}" name="restaurant_id" dataDxfId="25"/>
    <tableColumn id="11" xr3:uid="{6942E5E1-57C0-4439-8288-BCBB10AA6454}" name="restaurant_name" dataDxfId="24"/>
    <tableColumn id="12" xr3:uid="{0FC672A2-4E64-4EF2-849B-E01EB345363F}" name="restaurant_address" dataDxfId="23"/>
    <tableColumn id="13" xr3:uid="{1548403D-D6FA-4BA1-A6F0-00361CDE973D}" name="restaurant_locality" dataDxfId="22"/>
    <tableColumn id="14" xr3:uid="{2236607A-88D1-436D-A55D-0279921DA55E}" name="restaurant_city_name" dataDxfId="21"/>
    <tableColumn id="15" xr3:uid="{9181BA34-4758-44D4-9821-A002529B4C2E}" name="delivery_time_in_seconds" dataDxfId="20"/>
    <tableColumn id="21" xr3:uid="{D71CB310-3BC5-43E2-8045-439BBD9CF6BA}" name="delivery time hrs" dataDxfId="19">
      <calculatedColumnFormula>Table2[[#This Row],[delivery_time_in_seconds]]/60</calculatedColumnFormula>
    </tableColumn>
    <tableColumn id="16" xr3:uid="{C9D3707F-F11A-4818-AC6F-CCF19A179080}" name="order_total" dataDxfId="18"/>
    <tableColumn id="17" xr3:uid="{F2ECD00C-0FE3-4437-AF7F-FE8AEB3135EB}" name="order_total_with_tip" dataDxfId="17"/>
    <tableColumn id="18" xr3:uid="{D432BAB6-BE09-4C81-90FF-CF60D004EF83}" name="net_total" dataDxfId="16"/>
    <tableColumn id="19" xr3:uid="{B5FE2AAF-9F4E-444B-B7DB-DB7A654FA242}" name="item_total" dataDxfId="15"/>
    <tableColumn id="20" xr3:uid="{7CA12862-A583-483A-AB82-F147A5C96DA2}" name="free_delivery_discount_hit" dataDxfId="14"/>
    <tableColumn id="22" xr3:uid="{2C81A026-91BC-47BC-8E06-23F60D4162A4}" name="restaurant_lat_lng" dataDxfId="13"/>
    <tableColumn id="24" xr3:uid="{6C99F0C6-5FF9-46C1-A4E1-34E9D2343B58}" name="Distance group" dataDxfId="12">
      <calculatedColumnFormula>IF(Table2[[#This Row],[restaurant_customer_distance]]&lt;=2,"0-2 Km",IF(Table2[[#This Row],[restaurant_customer_distance]]&lt;=5,"2-5 Km",IF(Table2[[#This Row],[restaurant_customer_distance]]&lt;=8,"5-8 Km","8+Km")))</calculatedColumnFormula>
    </tableColumn>
    <tableColumn id="23" xr3:uid="{26650AAC-CB83-4A6F-8321-014B83A58137}" name="restaurant_customer_distance" dataDxfId="11"/>
    <tableColumn id="25" xr3:uid="{A60459E7-EA97-4093-8D3E-C9238A844BB1}" name="order_payment_method" dataDxfId="10"/>
    <tableColumn id="26" xr3:uid="{9BCB83DE-4726-437F-A486-FCFC7E6AE6BA}" name="restaurant_area_name" dataDxfId="9"/>
    <tableColumn id="27" xr3:uid="{EE40D3B1-4FDB-4CDD-8E0A-0C8660289C7C}" name="on_time" dataDxfId="8"/>
    <tableColumn id="28" xr3:uid="{ADBCBD73-7279-4081-BD2B-B96EE4733262}" name="rain_mode" dataDxfId="7"/>
    <tableColumn id="29" xr3:uid="{DB2EF63F-42F0-42C4-9DC9-9175B10FA3E0}" name="Month Start" dataDxfId="6">
      <calculatedColumnFormula>EOMONTH(H2,-1)+1</calculatedColumnFormula>
    </tableColumn>
    <tableColumn id="30" xr3:uid="{0141C244-54B4-4B93-BA83-F93A884869D4}" name="Area Name" dataDxfId="5">
      <calculatedColumnFormula>IFERROR(VLOOKUP(AC2,#REF!,2,0),AC2)</calculatedColumnFormula>
    </tableColumn>
    <tableColumn id="31" xr3:uid="{2D54E4B9-C808-4E5C-9EDD-F34978C815B8}" name="Restaurant Name" dataDxfId="4">
      <calculatedColumnFormula>IFERROR(TRIM(_xlfn.TEXTBEFORE(N2,"-")),N2)</calculatedColumnFormula>
    </tableColumn>
    <tableColumn id="32" xr3:uid="{A1C9F6BA-513E-41EA-A87A-653E681E33E9}" name="Latitiude" dataDxfId="3">
      <calculatedColumnFormula>_xlfn.TEXTBEFORE(Y2,",")</calculatedColumnFormula>
    </tableColumn>
    <tableColumn id="33" xr3:uid="{001A9815-418D-4530-BEA8-9F62C12099AD}" name="Longitude" dataDxfId="2">
      <calculatedColumnFormula>_xlfn.TEXTAFTER(Y2,",")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BE1904-771D-4F7B-AEC7-7E3657E60189}" name="Table3" displayName="Table3" ref="A14:C15" totalsRowShown="0">
  <autoFilter ref="A14:C15" xr:uid="{61BE1904-771D-4F7B-AEC7-7E3657E60189}"/>
  <tableColumns count="3">
    <tableColumn id="1" xr3:uid="{8DC207C3-D232-4569-BD10-3D8E4C6FD23C}" name="Total Delivered orders">
      <calculatedColumnFormula>COUNTA(Table2[order_status],"Delivered")</calculatedColumnFormula>
    </tableColumn>
    <tableColumn id="2" xr3:uid="{46E820D1-335D-49FC-9980-A43C42CC291E}" name="orders delivered during rain " dataDxfId="1">
      <calculatedColumnFormula>COUNTIFS(Table2[order_status],"Delivered",Table2[rain_mode],2)</calculatedColumnFormula>
    </tableColumn>
    <tableColumn id="3" xr3:uid="{27D4B1FD-BEC9-4F38-AB13-ADF0A31D87F3}" name="%" dataDxfId="0">
      <calculatedColumnFormula>B15/A15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90AC1-461D-4AF9-9880-02061298304A}">
  <sheetPr>
    <tabColor theme="2" tint="-9.9978637043366805E-2"/>
  </sheetPr>
  <dimension ref="A1:AF171"/>
  <sheetViews>
    <sheetView workbookViewId="0">
      <selection activeCell="C6" sqref="C6"/>
    </sheetView>
  </sheetViews>
  <sheetFormatPr defaultColWidth="9.140625" defaultRowHeight="14.45"/>
  <cols>
    <col min="1" max="1" width="29.28515625" style="11" customWidth="1"/>
    <col min="2" max="2" width="47.85546875" style="8" customWidth="1"/>
    <col min="3" max="3" width="23" style="8" customWidth="1"/>
    <col min="4" max="4" width="20.28515625" style="8" customWidth="1"/>
    <col min="5" max="5" width="17.85546875" style="8" bestFit="1" customWidth="1"/>
    <col min="6" max="6" width="15.7109375" style="8" bestFit="1" customWidth="1"/>
    <col min="7" max="7" width="18" style="8" customWidth="1"/>
    <col min="8" max="9" width="17.28515625" style="8" bestFit="1" customWidth="1"/>
    <col min="10" max="11" width="12.85546875" style="8" bestFit="1" customWidth="1"/>
    <col min="12" max="12" width="26" style="8" bestFit="1" customWidth="1"/>
    <col min="13" max="13" width="13.28515625" style="8" bestFit="1" customWidth="1"/>
    <col min="14" max="14" width="40.7109375" style="8" bestFit="1" customWidth="1"/>
    <col min="15" max="15" width="80.7109375" style="8" bestFit="1" customWidth="1"/>
    <col min="16" max="16" width="26.85546875" style="8" bestFit="1" customWidth="1"/>
    <col min="17" max="17" width="20.28515625" style="8" bestFit="1" customWidth="1"/>
    <col min="18" max="18" width="23.7109375" style="8" bestFit="1" customWidth="1"/>
    <col min="19" max="19" width="11.7109375" style="8" bestFit="1" customWidth="1"/>
    <col min="20" max="20" width="18.85546875" style="8" bestFit="1" customWidth="1"/>
    <col min="21" max="21" width="10" style="8" bestFit="1" customWidth="1"/>
    <col min="22" max="22" width="11" style="8" bestFit="1" customWidth="1"/>
    <col min="23" max="23" width="24.140625" style="8" bestFit="1" customWidth="1"/>
    <col min="24" max="24" width="21.85546875" style="8" bestFit="1" customWidth="1"/>
    <col min="25" max="25" width="35.7109375" style="8" bestFit="1" customWidth="1"/>
    <col min="26" max="26" width="27.28515625" style="8" bestFit="1" customWidth="1"/>
    <col min="27" max="27" width="15.28515625" style="8" bestFit="1" customWidth="1"/>
    <col min="28" max="28" width="22.140625" style="8" bestFit="1" customWidth="1"/>
    <col min="29" max="29" width="20.85546875" style="8" bestFit="1" customWidth="1"/>
    <col min="30" max="30" width="9.28515625" style="8" bestFit="1" customWidth="1"/>
    <col min="31" max="31" width="11.28515625" style="8" bestFit="1" customWidth="1"/>
    <col min="32" max="32" width="16.28515625" style="12" customWidth="1"/>
    <col min="33" max="16384" width="9.140625" style="8"/>
  </cols>
  <sheetData>
    <row r="1" spans="1:32">
      <c r="A1" s="43" t="s">
        <v>0</v>
      </c>
      <c r="B1" s="44" t="s">
        <v>1</v>
      </c>
      <c r="C1" s="44" t="s">
        <v>2</v>
      </c>
      <c r="D1" s="44" t="s">
        <v>3</v>
      </c>
      <c r="E1" s="44" t="s">
        <v>4</v>
      </c>
      <c r="F1" s="6"/>
      <c r="G1" s="6"/>
      <c r="H1" s="6"/>
      <c r="I1" s="6"/>
      <c r="J1" s="6"/>
      <c r="K1" s="6"/>
      <c r="L1" s="6"/>
      <c r="M1" s="6"/>
      <c r="N1" s="6"/>
      <c r="O1" s="6"/>
      <c r="P1" s="6"/>
      <c r="Q1" s="6"/>
      <c r="R1" s="6"/>
      <c r="S1" s="6"/>
      <c r="T1" s="6"/>
      <c r="U1" s="6"/>
      <c r="V1" s="6"/>
      <c r="W1" s="6"/>
      <c r="X1" s="6"/>
      <c r="Y1" s="6"/>
      <c r="Z1" s="6"/>
      <c r="AA1" s="6"/>
      <c r="AB1" s="6"/>
      <c r="AC1" s="6"/>
      <c r="AD1" s="6"/>
      <c r="AE1" s="7"/>
      <c r="AF1" s="8"/>
    </row>
    <row r="2" spans="1:32">
      <c r="A2" s="40">
        <v>175244332362622</v>
      </c>
      <c r="B2" s="2" t="s">
        <v>5</v>
      </c>
      <c r="C2" s="2">
        <v>0</v>
      </c>
      <c r="D2" s="2">
        <v>1</v>
      </c>
      <c r="E2" s="2" t="str">
        <f>IF(C2=0,"Non_Veg","Veg")</f>
        <v>Non_Veg</v>
      </c>
      <c r="F2" s="2"/>
      <c r="G2" s="2"/>
      <c r="H2" s="2"/>
      <c r="I2" s="2"/>
      <c r="J2" s="2"/>
      <c r="K2" s="2"/>
      <c r="L2" s="2"/>
      <c r="M2" s="2"/>
      <c r="N2" s="2"/>
      <c r="O2" s="2"/>
      <c r="P2" s="2"/>
      <c r="Q2" s="2"/>
      <c r="R2" s="2"/>
      <c r="S2" s="2"/>
      <c r="T2" s="2"/>
      <c r="U2" s="2"/>
      <c r="V2" s="2"/>
      <c r="W2" s="2"/>
      <c r="X2" s="2"/>
      <c r="Y2" s="2"/>
      <c r="Z2" s="2"/>
      <c r="AA2" s="2"/>
      <c r="AB2" s="2"/>
      <c r="AC2" s="2"/>
      <c r="AD2" s="2"/>
      <c r="AE2" s="3"/>
    </row>
    <row r="3" spans="1:32">
      <c r="A3" s="41">
        <v>175167017704058</v>
      </c>
      <c r="B3" s="4" t="s">
        <v>6</v>
      </c>
      <c r="C3" s="4">
        <v>0</v>
      </c>
      <c r="D3" s="4">
        <v>1</v>
      </c>
      <c r="E3" s="2" t="str">
        <f t="shared" ref="E3:E66" si="0">IF(C3=0,"Non_Veg","Veg")</f>
        <v>Non_Veg</v>
      </c>
      <c r="F3" s="4"/>
      <c r="G3" s="4"/>
      <c r="H3" s="4"/>
      <c r="I3" s="4"/>
      <c r="J3" s="4"/>
      <c r="K3" s="4"/>
      <c r="L3" s="4"/>
      <c r="M3" s="4"/>
      <c r="N3" s="4"/>
      <c r="O3" s="4"/>
      <c r="P3" s="4"/>
      <c r="Q3" s="4"/>
      <c r="R3" s="4"/>
      <c r="S3" s="4"/>
      <c r="T3" s="4"/>
      <c r="U3" s="4"/>
      <c r="V3" s="4"/>
      <c r="W3" s="4"/>
      <c r="X3" s="4"/>
      <c r="Y3" s="4"/>
      <c r="Z3" s="4"/>
      <c r="AA3" s="4"/>
      <c r="AB3" s="4"/>
      <c r="AC3" s="4"/>
      <c r="AD3" s="4"/>
      <c r="AE3" s="5"/>
    </row>
    <row r="4" spans="1:32">
      <c r="A4" s="40">
        <v>175167017704058</v>
      </c>
      <c r="B4" s="2" t="s">
        <v>7</v>
      </c>
      <c r="C4" s="2">
        <v>0</v>
      </c>
      <c r="D4" s="2">
        <v>1</v>
      </c>
      <c r="E4" s="2" t="str">
        <f t="shared" si="0"/>
        <v>Non_Veg</v>
      </c>
      <c r="F4" s="2"/>
      <c r="G4" s="2"/>
      <c r="H4" s="2"/>
      <c r="I4" s="2"/>
      <c r="J4" s="2"/>
      <c r="K4" s="2"/>
      <c r="L4" s="2"/>
      <c r="M4" s="2"/>
      <c r="N4" s="2"/>
      <c r="O4" s="2"/>
      <c r="P4" s="2"/>
      <c r="Q4" s="2"/>
      <c r="R4" s="2"/>
      <c r="S4" s="2"/>
      <c r="T4" s="2"/>
      <c r="U4" s="2"/>
      <c r="V4" s="2"/>
      <c r="W4" s="2"/>
      <c r="X4" s="2"/>
      <c r="Y4" s="2"/>
      <c r="Z4" s="2"/>
      <c r="AA4" s="2"/>
      <c r="AB4" s="2"/>
      <c r="AC4" s="2"/>
      <c r="AD4" s="2"/>
      <c r="AE4" s="3"/>
    </row>
    <row r="5" spans="1:32">
      <c r="A5" s="41">
        <v>175017114796029</v>
      </c>
      <c r="B5" s="4" t="s">
        <v>8</v>
      </c>
      <c r="C5" s="4">
        <v>0</v>
      </c>
      <c r="D5" s="4">
        <v>1</v>
      </c>
      <c r="E5" s="2" t="str">
        <f t="shared" si="0"/>
        <v>Non_Veg</v>
      </c>
      <c r="F5" s="4"/>
      <c r="G5" s="4"/>
      <c r="H5" s="4"/>
      <c r="I5" s="4"/>
      <c r="J5" s="4"/>
      <c r="K5" s="4"/>
      <c r="L5" s="4"/>
      <c r="M5" s="4"/>
      <c r="N5" s="4"/>
      <c r="O5" s="4"/>
      <c r="P5" s="4"/>
      <c r="Q5" s="4"/>
      <c r="R5" s="4"/>
      <c r="S5" s="4"/>
      <c r="T5" s="4"/>
      <c r="U5" s="4"/>
      <c r="V5" s="4"/>
      <c r="W5" s="4"/>
      <c r="X5" s="4"/>
      <c r="Y5" s="4"/>
      <c r="Z5" s="4"/>
      <c r="AA5" s="4"/>
      <c r="AB5" s="4"/>
      <c r="AC5" s="4"/>
      <c r="AD5" s="4"/>
      <c r="AE5" s="5"/>
    </row>
    <row r="6" spans="1:32">
      <c r="A6" s="40">
        <v>175017114796029</v>
      </c>
      <c r="B6" s="2" t="s">
        <v>9</v>
      </c>
      <c r="C6" s="2">
        <v>1</v>
      </c>
      <c r="D6" s="2">
        <v>1</v>
      </c>
      <c r="E6" s="2" t="str">
        <f t="shared" si="0"/>
        <v>Veg</v>
      </c>
      <c r="F6" s="2"/>
      <c r="G6" s="2"/>
      <c r="H6" s="2"/>
      <c r="I6" s="2"/>
      <c r="J6" s="2"/>
      <c r="K6" s="2"/>
      <c r="L6" s="2"/>
      <c r="M6" s="2"/>
      <c r="N6" s="2"/>
      <c r="O6" s="2"/>
      <c r="P6" s="2"/>
      <c r="Q6" s="2"/>
      <c r="R6" s="2"/>
      <c r="S6" s="2"/>
      <c r="T6" s="2"/>
      <c r="U6" s="2"/>
      <c r="V6" s="2"/>
      <c r="W6" s="2"/>
      <c r="X6" s="2"/>
      <c r="Y6" s="2"/>
      <c r="Z6" s="2"/>
      <c r="AA6" s="2"/>
      <c r="AB6" s="2"/>
      <c r="AC6" s="2"/>
      <c r="AD6" s="2"/>
      <c r="AE6" s="3"/>
    </row>
    <row r="7" spans="1:32">
      <c r="A7" s="41">
        <v>174973046023416</v>
      </c>
      <c r="B7" s="4" t="s">
        <v>10</v>
      </c>
      <c r="C7" s="4">
        <v>1</v>
      </c>
      <c r="D7" s="4">
        <v>1</v>
      </c>
      <c r="E7" s="2" t="str">
        <f t="shared" si="0"/>
        <v>Veg</v>
      </c>
      <c r="F7" s="4"/>
      <c r="G7" s="4"/>
      <c r="H7" s="4"/>
      <c r="I7" s="4"/>
      <c r="J7" s="4"/>
      <c r="K7" s="4"/>
      <c r="L7" s="4"/>
      <c r="M7" s="4"/>
      <c r="N7" s="4"/>
      <c r="O7" s="4"/>
      <c r="P7" s="4"/>
      <c r="Q7" s="4"/>
      <c r="R7" s="4"/>
      <c r="S7" s="4"/>
      <c r="T7" s="4"/>
      <c r="U7" s="4"/>
      <c r="V7" s="4"/>
      <c r="W7" s="4"/>
      <c r="X7" s="4"/>
      <c r="Y7" s="4"/>
      <c r="Z7" s="4"/>
      <c r="AA7" s="4"/>
      <c r="AB7" s="4"/>
      <c r="AC7" s="4"/>
      <c r="AD7" s="4"/>
      <c r="AE7" s="5"/>
    </row>
    <row r="8" spans="1:32">
      <c r="A8" s="40">
        <v>174973046023416</v>
      </c>
      <c r="B8" s="2" t="s">
        <v>11</v>
      </c>
      <c r="C8" s="2">
        <v>1</v>
      </c>
      <c r="D8" s="2">
        <v>1</v>
      </c>
      <c r="E8" s="2" t="str">
        <f t="shared" si="0"/>
        <v>Veg</v>
      </c>
      <c r="F8" s="2"/>
      <c r="G8" s="2"/>
      <c r="H8" s="2"/>
      <c r="I8" s="2"/>
      <c r="J8" s="2"/>
      <c r="K8" s="2"/>
      <c r="L8" s="2"/>
      <c r="M8" s="2"/>
      <c r="N8" s="2"/>
      <c r="O8" s="2"/>
      <c r="P8" s="2"/>
      <c r="Q8" s="2"/>
      <c r="R8" s="2"/>
      <c r="S8" s="2"/>
      <c r="T8" s="2"/>
      <c r="U8" s="2"/>
      <c r="V8" s="2"/>
      <c r="W8" s="2"/>
      <c r="X8" s="2"/>
      <c r="Y8" s="2"/>
      <c r="Z8" s="2"/>
      <c r="AA8" s="2"/>
      <c r="AB8" s="2"/>
      <c r="AC8" s="2"/>
      <c r="AD8" s="2"/>
      <c r="AE8" s="3"/>
    </row>
    <row r="9" spans="1:32">
      <c r="A9" s="41">
        <v>174906705849277</v>
      </c>
      <c r="B9" s="4" t="s">
        <v>12</v>
      </c>
      <c r="C9" s="4">
        <v>0</v>
      </c>
      <c r="D9" s="4">
        <v>1</v>
      </c>
      <c r="E9" s="2" t="str">
        <f t="shared" si="0"/>
        <v>Non_Veg</v>
      </c>
      <c r="F9" s="4"/>
      <c r="G9" s="4"/>
      <c r="H9" s="4"/>
      <c r="I9" s="4"/>
      <c r="J9" s="4"/>
      <c r="K9" s="4"/>
      <c r="L9" s="4"/>
      <c r="M9" s="4"/>
      <c r="N9" s="4"/>
      <c r="O9" s="4"/>
      <c r="P9" s="4"/>
      <c r="Q9" s="4"/>
      <c r="R9" s="4"/>
      <c r="S9" s="4"/>
      <c r="T9" s="4"/>
      <c r="U9" s="4"/>
      <c r="V9" s="4"/>
      <c r="W9" s="4"/>
      <c r="X9" s="4"/>
      <c r="Y9" s="4"/>
      <c r="Z9" s="4"/>
      <c r="AA9" s="4"/>
      <c r="AB9" s="4"/>
      <c r="AC9" s="4"/>
      <c r="AD9" s="4"/>
      <c r="AE9" s="5"/>
    </row>
    <row r="10" spans="1:32">
      <c r="A10" s="40">
        <v>174906705849277</v>
      </c>
      <c r="B10" s="2" t="s">
        <v>13</v>
      </c>
      <c r="C10" s="2">
        <v>1</v>
      </c>
      <c r="D10" s="2">
        <v>1</v>
      </c>
      <c r="E10" s="2" t="str">
        <f t="shared" si="0"/>
        <v>Veg</v>
      </c>
      <c r="F10" s="2"/>
      <c r="G10" s="2"/>
      <c r="H10" s="2"/>
      <c r="I10" s="2"/>
      <c r="J10" s="2"/>
      <c r="K10" s="2"/>
      <c r="L10" s="2"/>
      <c r="M10" s="2"/>
      <c r="N10" s="2"/>
      <c r="O10" s="2"/>
      <c r="P10" s="2"/>
      <c r="Q10" s="2"/>
      <c r="R10" s="2"/>
      <c r="S10" s="2"/>
      <c r="T10" s="2"/>
      <c r="U10" s="2"/>
      <c r="V10" s="2"/>
      <c r="W10" s="2"/>
      <c r="X10" s="2"/>
      <c r="Y10" s="2"/>
      <c r="Z10" s="2"/>
      <c r="AA10" s="2"/>
      <c r="AB10" s="2"/>
      <c r="AC10" s="2"/>
      <c r="AD10" s="2"/>
      <c r="AE10" s="3"/>
    </row>
    <row r="11" spans="1:32">
      <c r="A11" s="41">
        <v>174329455765789</v>
      </c>
      <c r="B11" s="4" t="s">
        <v>14</v>
      </c>
      <c r="C11" s="4">
        <v>1</v>
      </c>
      <c r="D11" s="4">
        <v>1</v>
      </c>
      <c r="E11" s="2" t="str">
        <f t="shared" si="0"/>
        <v>Veg</v>
      </c>
      <c r="F11" s="4"/>
      <c r="G11" s="4"/>
      <c r="H11" s="4"/>
      <c r="I11" s="4"/>
      <c r="J11" s="4"/>
      <c r="K11" s="4"/>
      <c r="L11" s="4"/>
      <c r="M11" s="4"/>
      <c r="N11" s="4"/>
      <c r="O11" s="4"/>
      <c r="P11" s="4"/>
      <c r="Q11" s="4"/>
      <c r="R11" s="4"/>
      <c r="S11" s="4"/>
      <c r="T11" s="4"/>
      <c r="U11" s="4"/>
      <c r="V11" s="4"/>
      <c r="W11" s="4"/>
      <c r="X11" s="4"/>
      <c r="Y11" s="4"/>
      <c r="Z11" s="4"/>
      <c r="AA11" s="4"/>
      <c r="AB11" s="4"/>
      <c r="AC11" s="4"/>
      <c r="AD11" s="4"/>
      <c r="AE11" s="5"/>
    </row>
    <row r="12" spans="1:32">
      <c r="A12" s="40">
        <v>174329455765789</v>
      </c>
      <c r="B12" s="2" t="s">
        <v>15</v>
      </c>
      <c r="C12" s="2">
        <v>0</v>
      </c>
      <c r="D12" s="2">
        <v>1</v>
      </c>
      <c r="E12" s="2" t="str">
        <f t="shared" si="0"/>
        <v>Non_Veg</v>
      </c>
      <c r="F12" s="2"/>
      <c r="G12" s="2"/>
      <c r="H12" s="2"/>
      <c r="I12" s="2"/>
      <c r="J12" s="2"/>
      <c r="K12" s="2"/>
      <c r="L12" s="2"/>
      <c r="M12" s="2"/>
      <c r="N12" s="2"/>
      <c r="O12" s="2"/>
      <c r="P12" s="2"/>
      <c r="Q12" s="2"/>
      <c r="R12" s="2"/>
      <c r="S12" s="2"/>
      <c r="T12" s="2"/>
      <c r="U12" s="2"/>
      <c r="V12" s="2"/>
      <c r="W12" s="2"/>
      <c r="X12" s="2"/>
      <c r="Y12" s="2"/>
      <c r="Z12" s="2"/>
      <c r="AA12" s="2"/>
      <c r="AB12" s="2"/>
      <c r="AC12" s="2"/>
      <c r="AD12" s="2"/>
      <c r="AE12" s="3"/>
    </row>
    <row r="13" spans="1:32">
      <c r="A13" s="41">
        <v>174318296922309</v>
      </c>
      <c r="B13" s="4" t="s">
        <v>16</v>
      </c>
      <c r="C13" s="4">
        <v>1</v>
      </c>
      <c r="D13" s="4">
        <v>1</v>
      </c>
      <c r="E13" s="2" t="str">
        <f t="shared" si="0"/>
        <v>Veg</v>
      </c>
      <c r="F13" s="4"/>
      <c r="G13" s="4"/>
      <c r="H13" s="4"/>
      <c r="I13" s="4"/>
      <c r="J13" s="4"/>
      <c r="K13" s="4"/>
      <c r="L13" s="4"/>
      <c r="M13" s="4"/>
      <c r="N13" s="4"/>
      <c r="O13" s="4"/>
      <c r="P13" s="4"/>
      <c r="Q13" s="4"/>
      <c r="R13" s="4"/>
      <c r="S13" s="4"/>
      <c r="T13" s="4"/>
      <c r="U13" s="4"/>
      <c r="V13" s="4"/>
      <c r="W13" s="4"/>
      <c r="X13" s="4"/>
      <c r="Y13" s="4"/>
      <c r="Z13" s="4"/>
      <c r="AA13" s="4"/>
      <c r="AB13" s="4"/>
      <c r="AC13" s="4"/>
      <c r="AD13" s="4"/>
      <c r="AE13" s="5"/>
    </row>
    <row r="14" spans="1:32">
      <c r="A14" s="40">
        <v>174318296922309</v>
      </c>
      <c r="B14" s="2" t="s">
        <v>17</v>
      </c>
      <c r="C14" s="2">
        <v>1</v>
      </c>
      <c r="D14" s="2">
        <v>1</v>
      </c>
      <c r="E14" s="2" t="str">
        <f t="shared" si="0"/>
        <v>Veg</v>
      </c>
      <c r="F14" s="2"/>
      <c r="G14" s="2"/>
      <c r="H14" s="2"/>
      <c r="I14" s="2"/>
      <c r="J14" s="2"/>
      <c r="K14" s="2"/>
      <c r="L14" s="2"/>
      <c r="M14" s="2"/>
      <c r="N14" s="2"/>
      <c r="O14" s="2"/>
      <c r="P14" s="2"/>
      <c r="Q14" s="2"/>
      <c r="R14" s="2"/>
      <c r="S14" s="2"/>
      <c r="T14" s="2"/>
      <c r="U14" s="2"/>
      <c r="V14" s="2"/>
      <c r="W14" s="2"/>
      <c r="X14" s="2"/>
      <c r="Y14" s="2"/>
      <c r="Z14" s="2"/>
      <c r="AA14" s="2"/>
      <c r="AB14" s="2"/>
      <c r="AC14" s="2"/>
      <c r="AD14" s="2"/>
      <c r="AE14" s="3"/>
    </row>
    <row r="15" spans="1:32">
      <c r="A15" s="41">
        <v>174118005152904</v>
      </c>
      <c r="B15" s="4" t="s">
        <v>18</v>
      </c>
      <c r="C15" s="4">
        <v>0</v>
      </c>
      <c r="D15" s="4">
        <v>1</v>
      </c>
      <c r="E15" s="2" t="str">
        <f t="shared" si="0"/>
        <v>Non_Veg</v>
      </c>
      <c r="F15" s="4"/>
      <c r="G15" s="4"/>
      <c r="H15" s="4"/>
      <c r="I15" s="4"/>
      <c r="J15" s="4"/>
      <c r="K15" s="4"/>
      <c r="L15" s="4"/>
      <c r="M15" s="4"/>
      <c r="N15" s="4"/>
      <c r="O15" s="4"/>
      <c r="P15" s="4"/>
      <c r="Q15" s="4"/>
      <c r="R15" s="4"/>
      <c r="S15" s="4"/>
      <c r="T15" s="4"/>
      <c r="U15" s="4"/>
      <c r="V15" s="4"/>
      <c r="W15" s="4"/>
      <c r="X15" s="4"/>
      <c r="Y15" s="4"/>
      <c r="Z15" s="4"/>
      <c r="AA15" s="4"/>
      <c r="AB15" s="4"/>
      <c r="AC15" s="4"/>
      <c r="AD15" s="4"/>
      <c r="AE15" s="5"/>
    </row>
    <row r="16" spans="1:32">
      <c r="A16" s="40">
        <v>174075356745024</v>
      </c>
      <c r="B16" s="2" t="s">
        <v>19</v>
      </c>
      <c r="C16" s="2">
        <v>0</v>
      </c>
      <c r="D16" s="2">
        <v>1</v>
      </c>
      <c r="E16" s="2" t="str">
        <f t="shared" si="0"/>
        <v>Non_Veg</v>
      </c>
      <c r="F16" s="2"/>
      <c r="G16" s="2"/>
      <c r="H16" s="2"/>
      <c r="I16" s="2"/>
      <c r="J16" s="2"/>
      <c r="K16" s="2"/>
      <c r="L16" s="2"/>
      <c r="M16" s="2"/>
      <c r="N16" s="2"/>
      <c r="O16" s="2"/>
      <c r="P16" s="2"/>
      <c r="Q16" s="2"/>
      <c r="R16" s="2"/>
      <c r="S16" s="2"/>
      <c r="T16" s="2"/>
      <c r="U16" s="2"/>
      <c r="V16" s="2"/>
      <c r="W16" s="2"/>
      <c r="X16" s="2"/>
      <c r="Y16" s="2"/>
      <c r="Z16" s="2"/>
      <c r="AA16" s="2"/>
      <c r="AB16" s="2"/>
      <c r="AC16" s="2"/>
      <c r="AD16" s="2"/>
      <c r="AE16" s="3"/>
    </row>
    <row r="17" spans="1:31">
      <c r="A17" s="41">
        <v>174075356745024</v>
      </c>
      <c r="B17" s="4" t="s">
        <v>20</v>
      </c>
      <c r="C17" s="4">
        <v>1</v>
      </c>
      <c r="D17" s="4">
        <v>1</v>
      </c>
      <c r="E17" s="2" t="str">
        <f t="shared" si="0"/>
        <v>Veg</v>
      </c>
      <c r="F17" s="4"/>
      <c r="G17" s="4"/>
      <c r="H17" s="4"/>
      <c r="I17" s="4"/>
      <c r="J17" s="4"/>
      <c r="K17" s="4"/>
      <c r="L17" s="4"/>
      <c r="M17" s="4"/>
      <c r="N17" s="4"/>
      <c r="O17" s="4"/>
      <c r="P17" s="4"/>
      <c r="Q17" s="4"/>
      <c r="R17" s="4"/>
      <c r="S17" s="4"/>
      <c r="T17" s="4"/>
      <c r="U17" s="4"/>
      <c r="V17" s="4"/>
      <c r="W17" s="4"/>
      <c r="X17" s="4"/>
      <c r="Y17" s="4"/>
      <c r="Z17" s="4"/>
      <c r="AA17" s="4"/>
      <c r="AB17" s="4"/>
      <c r="AC17" s="4"/>
      <c r="AD17" s="4"/>
      <c r="AE17" s="5"/>
    </row>
    <row r="18" spans="1:31">
      <c r="A18" s="40">
        <v>174067299373268</v>
      </c>
      <c r="B18" s="2" t="s">
        <v>20</v>
      </c>
      <c r="C18" s="2">
        <v>1</v>
      </c>
      <c r="D18" s="2">
        <v>1</v>
      </c>
      <c r="E18" s="2" t="str">
        <f t="shared" si="0"/>
        <v>Veg</v>
      </c>
      <c r="F18" s="2"/>
      <c r="G18" s="2"/>
      <c r="H18" s="2"/>
      <c r="I18" s="2"/>
      <c r="J18" s="2"/>
      <c r="K18" s="2"/>
      <c r="L18" s="2"/>
      <c r="M18" s="2"/>
      <c r="N18" s="2"/>
      <c r="O18" s="2"/>
      <c r="P18" s="2"/>
      <c r="Q18" s="2"/>
      <c r="R18" s="2"/>
      <c r="S18" s="2"/>
      <c r="T18" s="2"/>
      <c r="U18" s="2"/>
      <c r="V18" s="2"/>
      <c r="W18" s="2"/>
      <c r="X18" s="2"/>
      <c r="Y18" s="2"/>
      <c r="Z18" s="2"/>
      <c r="AA18" s="2"/>
      <c r="AB18" s="2"/>
      <c r="AC18" s="2"/>
      <c r="AD18" s="2"/>
      <c r="AE18" s="3"/>
    </row>
    <row r="19" spans="1:31">
      <c r="A19" s="41">
        <v>174067299373268</v>
      </c>
      <c r="B19" s="4" t="s">
        <v>21</v>
      </c>
      <c r="C19" s="4">
        <v>0</v>
      </c>
      <c r="D19" s="4">
        <v>1</v>
      </c>
      <c r="E19" s="2" t="str">
        <f t="shared" si="0"/>
        <v>Non_Veg</v>
      </c>
      <c r="F19" s="4"/>
      <c r="G19" s="4"/>
      <c r="H19" s="4"/>
      <c r="I19" s="4"/>
      <c r="J19" s="4"/>
      <c r="K19" s="4"/>
      <c r="L19" s="4"/>
      <c r="M19" s="4"/>
      <c r="N19" s="4"/>
      <c r="O19" s="4"/>
      <c r="P19" s="4"/>
      <c r="Q19" s="4"/>
      <c r="R19" s="4"/>
      <c r="S19" s="4"/>
      <c r="T19" s="4"/>
      <c r="U19" s="4"/>
      <c r="V19" s="4"/>
      <c r="W19" s="4"/>
      <c r="X19" s="4"/>
      <c r="Y19" s="4"/>
      <c r="Z19" s="4"/>
      <c r="AA19" s="4"/>
      <c r="AB19" s="4"/>
      <c r="AC19" s="4"/>
      <c r="AD19" s="4"/>
      <c r="AE19" s="5"/>
    </row>
    <row r="20" spans="1:31">
      <c r="A20" s="40">
        <v>174058332503576</v>
      </c>
      <c r="B20" s="2" t="s">
        <v>22</v>
      </c>
      <c r="C20" s="2">
        <v>0</v>
      </c>
      <c r="D20" s="2">
        <v>1</v>
      </c>
      <c r="E20" s="2" t="str">
        <f t="shared" si="0"/>
        <v>Non_Veg</v>
      </c>
      <c r="F20" s="2"/>
      <c r="G20" s="2"/>
      <c r="H20" s="2"/>
      <c r="I20" s="2"/>
      <c r="J20" s="2"/>
      <c r="K20" s="2"/>
      <c r="L20" s="2"/>
      <c r="M20" s="2"/>
      <c r="N20" s="2"/>
      <c r="O20" s="2"/>
      <c r="P20" s="2"/>
      <c r="Q20" s="2"/>
      <c r="R20" s="2"/>
      <c r="S20" s="2"/>
      <c r="T20" s="2"/>
      <c r="U20" s="2"/>
      <c r="V20" s="2"/>
      <c r="W20" s="2"/>
      <c r="X20" s="2"/>
      <c r="Y20" s="2"/>
      <c r="Z20" s="2"/>
      <c r="AA20" s="2"/>
      <c r="AB20" s="2"/>
      <c r="AC20" s="2"/>
      <c r="AD20" s="2"/>
      <c r="AE20" s="3"/>
    </row>
    <row r="21" spans="1:31">
      <c r="A21" s="41">
        <v>174037702433562</v>
      </c>
      <c r="B21" s="4" t="s">
        <v>23</v>
      </c>
      <c r="C21" s="4">
        <v>0</v>
      </c>
      <c r="D21" s="4">
        <v>1</v>
      </c>
      <c r="E21" s="2" t="str">
        <f t="shared" si="0"/>
        <v>Non_Veg</v>
      </c>
      <c r="F21" s="4"/>
      <c r="G21" s="4"/>
      <c r="H21" s="4"/>
      <c r="I21" s="4"/>
      <c r="J21" s="4"/>
      <c r="K21" s="4"/>
      <c r="L21" s="4"/>
      <c r="M21" s="4"/>
      <c r="N21" s="4"/>
      <c r="O21" s="4"/>
      <c r="P21" s="4"/>
      <c r="Q21" s="4"/>
      <c r="R21" s="4"/>
      <c r="S21" s="4"/>
      <c r="T21" s="4"/>
      <c r="U21" s="4"/>
      <c r="V21" s="4"/>
      <c r="W21" s="4"/>
      <c r="X21" s="4"/>
      <c r="Y21" s="4"/>
      <c r="Z21" s="4"/>
      <c r="AA21" s="4"/>
      <c r="AB21" s="4"/>
      <c r="AC21" s="4"/>
      <c r="AD21" s="4"/>
      <c r="AE21" s="5"/>
    </row>
    <row r="22" spans="1:31">
      <c r="A22" s="40">
        <v>174026206595017</v>
      </c>
      <c r="B22" s="2" t="s">
        <v>10</v>
      </c>
      <c r="C22" s="2">
        <v>1</v>
      </c>
      <c r="D22" s="2">
        <v>1</v>
      </c>
      <c r="E22" s="2" t="str">
        <f t="shared" si="0"/>
        <v>Veg</v>
      </c>
      <c r="F22" s="2"/>
      <c r="G22" s="2"/>
      <c r="H22" s="2"/>
      <c r="I22" s="2"/>
      <c r="J22" s="2"/>
      <c r="K22" s="2"/>
      <c r="L22" s="2"/>
      <c r="M22" s="2"/>
      <c r="N22" s="2"/>
      <c r="O22" s="2"/>
      <c r="P22" s="2"/>
      <c r="Q22" s="2"/>
      <c r="R22" s="2"/>
      <c r="S22" s="2"/>
      <c r="T22" s="2"/>
      <c r="U22" s="2"/>
      <c r="V22" s="2"/>
      <c r="W22" s="2"/>
      <c r="X22" s="2"/>
      <c r="Y22" s="2"/>
      <c r="Z22" s="2"/>
      <c r="AA22" s="2"/>
      <c r="AB22" s="2"/>
      <c r="AC22" s="2"/>
      <c r="AD22" s="2"/>
      <c r="AE22" s="3"/>
    </row>
    <row r="23" spans="1:31">
      <c r="A23" s="41">
        <v>173972919485563</v>
      </c>
      <c r="B23" s="4" t="s">
        <v>5</v>
      </c>
      <c r="C23" s="4">
        <v>0</v>
      </c>
      <c r="D23" s="4">
        <v>1</v>
      </c>
      <c r="E23" s="2" t="str">
        <f t="shared" si="0"/>
        <v>Non_Veg</v>
      </c>
      <c r="F23" s="4"/>
      <c r="G23" s="4"/>
      <c r="H23" s="4"/>
      <c r="I23" s="4"/>
      <c r="J23" s="4"/>
      <c r="K23" s="4"/>
      <c r="L23" s="4"/>
      <c r="M23" s="4"/>
      <c r="N23" s="4"/>
      <c r="O23" s="4"/>
      <c r="P23" s="4"/>
      <c r="Q23" s="4"/>
      <c r="R23" s="4"/>
      <c r="S23" s="4"/>
      <c r="T23" s="4"/>
      <c r="U23" s="4"/>
      <c r="V23" s="4"/>
      <c r="W23" s="4"/>
      <c r="X23" s="4"/>
      <c r="Y23" s="4"/>
      <c r="Z23" s="4"/>
      <c r="AA23" s="4"/>
      <c r="AB23" s="4"/>
      <c r="AC23" s="4"/>
      <c r="AD23" s="4"/>
      <c r="AE23" s="5"/>
    </row>
    <row r="24" spans="1:31">
      <c r="A24" s="40">
        <v>173961191807457</v>
      </c>
      <c r="B24" s="2" t="s">
        <v>24</v>
      </c>
      <c r="C24" s="2">
        <v>0</v>
      </c>
      <c r="D24" s="2">
        <v>1</v>
      </c>
      <c r="E24" s="2" t="str">
        <f t="shared" si="0"/>
        <v>Non_Veg</v>
      </c>
      <c r="F24" s="2"/>
      <c r="G24" s="2"/>
      <c r="H24" s="2"/>
      <c r="I24" s="2"/>
      <c r="J24" s="2"/>
      <c r="K24" s="2"/>
      <c r="L24" s="2"/>
      <c r="M24" s="2"/>
      <c r="N24" s="2"/>
      <c r="O24" s="2"/>
      <c r="P24" s="2"/>
      <c r="Q24" s="2"/>
      <c r="R24" s="2"/>
      <c r="S24" s="2"/>
      <c r="T24" s="2"/>
      <c r="U24" s="2"/>
      <c r="V24" s="2"/>
      <c r="W24" s="2"/>
      <c r="X24" s="2"/>
      <c r="Y24" s="2"/>
      <c r="Z24" s="2"/>
      <c r="AA24" s="2"/>
      <c r="AB24" s="2"/>
      <c r="AC24" s="2"/>
      <c r="AD24" s="2"/>
      <c r="AE24" s="3"/>
    </row>
    <row r="25" spans="1:31">
      <c r="A25" s="41">
        <v>173961191807457</v>
      </c>
      <c r="B25" s="4" t="s">
        <v>25</v>
      </c>
      <c r="C25" s="4">
        <v>0</v>
      </c>
      <c r="D25" s="4">
        <v>1</v>
      </c>
      <c r="E25" s="2" t="str">
        <f t="shared" si="0"/>
        <v>Non_Veg</v>
      </c>
      <c r="F25" s="4"/>
      <c r="G25" s="4"/>
      <c r="H25" s="4"/>
      <c r="I25" s="4"/>
      <c r="J25" s="4"/>
      <c r="K25" s="4"/>
      <c r="L25" s="4"/>
      <c r="M25" s="4"/>
      <c r="N25" s="4"/>
      <c r="O25" s="4"/>
      <c r="P25" s="4"/>
      <c r="Q25" s="4"/>
      <c r="R25" s="4"/>
      <c r="S25" s="4"/>
      <c r="T25" s="4"/>
      <c r="U25" s="4"/>
      <c r="V25" s="4"/>
      <c r="W25" s="4"/>
      <c r="X25" s="4"/>
      <c r="Y25" s="4"/>
      <c r="Z25" s="4"/>
      <c r="AA25" s="4"/>
      <c r="AB25" s="4"/>
      <c r="AC25" s="4"/>
      <c r="AD25" s="4"/>
      <c r="AE25" s="5"/>
    </row>
    <row r="26" spans="1:31">
      <c r="A26" s="40">
        <v>173953404362535</v>
      </c>
      <c r="B26" s="2" t="s">
        <v>12</v>
      </c>
      <c r="C26" s="2">
        <v>0</v>
      </c>
      <c r="D26" s="2">
        <v>1</v>
      </c>
      <c r="E26" s="2" t="str">
        <f t="shared" si="0"/>
        <v>Non_Veg</v>
      </c>
      <c r="F26" s="2"/>
      <c r="G26" s="2"/>
      <c r="H26" s="2"/>
      <c r="I26" s="2"/>
      <c r="J26" s="2"/>
      <c r="K26" s="2"/>
      <c r="L26" s="2"/>
      <c r="M26" s="2"/>
      <c r="N26" s="2"/>
      <c r="O26" s="2"/>
      <c r="P26" s="2"/>
      <c r="Q26" s="2"/>
      <c r="R26" s="2"/>
      <c r="S26" s="2"/>
      <c r="T26" s="2"/>
      <c r="U26" s="2"/>
      <c r="V26" s="2"/>
      <c r="W26" s="2"/>
      <c r="X26" s="2"/>
      <c r="Y26" s="2"/>
      <c r="Z26" s="2"/>
      <c r="AA26" s="2"/>
      <c r="AB26" s="2"/>
      <c r="AC26" s="2"/>
      <c r="AD26" s="2"/>
      <c r="AE26" s="3"/>
    </row>
    <row r="27" spans="1:31">
      <c r="A27" s="41">
        <v>173953404362535</v>
      </c>
      <c r="B27" s="4" t="s">
        <v>13</v>
      </c>
      <c r="C27" s="4">
        <v>1</v>
      </c>
      <c r="D27" s="4">
        <v>1</v>
      </c>
      <c r="E27" s="2" t="str">
        <f t="shared" si="0"/>
        <v>Veg</v>
      </c>
      <c r="F27" s="4"/>
      <c r="G27" s="4"/>
      <c r="H27" s="4"/>
      <c r="I27" s="4"/>
      <c r="J27" s="4"/>
      <c r="K27" s="4"/>
      <c r="L27" s="4"/>
      <c r="M27" s="4"/>
      <c r="N27" s="4"/>
      <c r="O27" s="4"/>
      <c r="P27" s="4"/>
      <c r="Q27" s="4"/>
      <c r="R27" s="4"/>
      <c r="S27" s="4"/>
      <c r="T27" s="4"/>
      <c r="U27" s="4"/>
      <c r="V27" s="4"/>
      <c r="W27" s="4"/>
      <c r="X27" s="4"/>
      <c r="Y27" s="4"/>
      <c r="Z27" s="4"/>
      <c r="AA27" s="4"/>
      <c r="AB27" s="4"/>
      <c r="AC27" s="4"/>
      <c r="AD27" s="4"/>
      <c r="AE27" s="5"/>
    </row>
    <row r="28" spans="1:31">
      <c r="A28" s="40">
        <v>173934793528823</v>
      </c>
      <c r="B28" s="2" t="s">
        <v>10</v>
      </c>
      <c r="C28" s="2">
        <v>1</v>
      </c>
      <c r="D28" s="2">
        <v>1</v>
      </c>
      <c r="E28" s="2" t="str">
        <f t="shared" si="0"/>
        <v>Veg</v>
      </c>
      <c r="F28" s="2"/>
      <c r="G28" s="2"/>
      <c r="H28" s="2"/>
      <c r="I28" s="2"/>
      <c r="J28" s="2"/>
      <c r="K28" s="2"/>
      <c r="L28" s="2"/>
      <c r="M28" s="2"/>
      <c r="N28" s="2"/>
      <c r="O28" s="2"/>
      <c r="P28" s="2"/>
      <c r="Q28" s="2"/>
      <c r="R28" s="2"/>
      <c r="S28" s="2"/>
      <c r="T28" s="2"/>
      <c r="U28" s="2"/>
      <c r="V28" s="2"/>
      <c r="W28" s="2"/>
      <c r="X28" s="2"/>
      <c r="Y28" s="2"/>
      <c r="Z28" s="2"/>
      <c r="AA28" s="2"/>
      <c r="AB28" s="2"/>
      <c r="AC28" s="2"/>
      <c r="AD28" s="2"/>
      <c r="AE28" s="3"/>
    </row>
    <row r="29" spans="1:31">
      <c r="A29" s="41">
        <v>173886476249693</v>
      </c>
      <c r="B29" s="4" t="s">
        <v>10</v>
      </c>
      <c r="C29" s="4">
        <v>1</v>
      </c>
      <c r="D29" s="4">
        <v>1</v>
      </c>
      <c r="E29" s="2" t="str">
        <f t="shared" si="0"/>
        <v>Veg</v>
      </c>
      <c r="F29" s="4"/>
      <c r="G29" s="4"/>
      <c r="H29" s="4"/>
      <c r="I29" s="4"/>
      <c r="J29" s="4"/>
      <c r="K29" s="4"/>
      <c r="L29" s="4"/>
      <c r="M29" s="4"/>
      <c r="N29" s="4"/>
      <c r="O29" s="4"/>
      <c r="P29" s="4"/>
      <c r="Q29" s="4"/>
      <c r="R29" s="4"/>
      <c r="S29" s="4"/>
      <c r="T29" s="4"/>
      <c r="U29" s="4"/>
      <c r="V29" s="4"/>
      <c r="W29" s="4"/>
      <c r="X29" s="4"/>
      <c r="Y29" s="4"/>
      <c r="Z29" s="4"/>
      <c r="AA29" s="4"/>
      <c r="AB29" s="4"/>
      <c r="AC29" s="4"/>
      <c r="AD29" s="4"/>
      <c r="AE29" s="5"/>
    </row>
    <row r="30" spans="1:31">
      <c r="A30" s="40">
        <v>173886476249693</v>
      </c>
      <c r="B30" s="2" t="s">
        <v>26</v>
      </c>
      <c r="C30" s="2">
        <v>1</v>
      </c>
      <c r="D30" s="2">
        <v>1</v>
      </c>
      <c r="E30" s="2" t="str">
        <f t="shared" si="0"/>
        <v>Veg</v>
      </c>
      <c r="F30" s="2"/>
      <c r="G30" s="2"/>
      <c r="H30" s="2"/>
      <c r="I30" s="2"/>
      <c r="J30" s="2"/>
      <c r="K30" s="2"/>
      <c r="L30" s="2"/>
      <c r="M30" s="2"/>
      <c r="N30" s="2"/>
      <c r="O30" s="2"/>
      <c r="P30" s="2"/>
      <c r="Q30" s="2"/>
      <c r="R30" s="2"/>
      <c r="S30" s="2"/>
      <c r="T30" s="2"/>
      <c r="U30" s="2"/>
      <c r="V30" s="2"/>
      <c r="W30" s="2"/>
      <c r="X30" s="2"/>
      <c r="Y30" s="2"/>
      <c r="Z30" s="2"/>
      <c r="AA30" s="2"/>
      <c r="AB30" s="2"/>
      <c r="AC30" s="2"/>
      <c r="AD30" s="2"/>
      <c r="AE30" s="3"/>
    </row>
    <row r="31" spans="1:31">
      <c r="A31" s="41">
        <v>173848012476255</v>
      </c>
      <c r="B31" s="4" t="s">
        <v>10</v>
      </c>
      <c r="C31" s="4">
        <v>1</v>
      </c>
      <c r="D31" s="4">
        <v>1</v>
      </c>
      <c r="E31" s="2" t="str">
        <f t="shared" si="0"/>
        <v>Veg</v>
      </c>
      <c r="F31" s="4"/>
      <c r="G31" s="4"/>
      <c r="H31" s="4"/>
      <c r="I31" s="4"/>
      <c r="J31" s="4"/>
      <c r="K31" s="4"/>
      <c r="L31" s="4"/>
      <c r="M31" s="4"/>
      <c r="N31" s="4"/>
      <c r="O31" s="4"/>
      <c r="P31" s="4"/>
      <c r="Q31" s="4"/>
      <c r="R31" s="4"/>
      <c r="S31" s="4"/>
      <c r="T31" s="4"/>
      <c r="U31" s="4"/>
      <c r="V31" s="4"/>
      <c r="W31" s="4"/>
      <c r="X31" s="4"/>
      <c r="Y31" s="4"/>
      <c r="Z31" s="4"/>
      <c r="AA31" s="4"/>
      <c r="AB31" s="4"/>
      <c r="AC31" s="4"/>
      <c r="AD31" s="4"/>
      <c r="AE31" s="5"/>
    </row>
    <row r="32" spans="1:31">
      <c r="A32" s="40">
        <v>173848012476255</v>
      </c>
      <c r="B32" s="2" t="s">
        <v>27</v>
      </c>
      <c r="C32" s="2">
        <v>1</v>
      </c>
      <c r="D32" s="2">
        <v>1</v>
      </c>
      <c r="E32" s="2" t="str">
        <f t="shared" si="0"/>
        <v>Veg</v>
      </c>
      <c r="F32" s="2"/>
      <c r="G32" s="2"/>
      <c r="H32" s="2"/>
      <c r="I32" s="2"/>
      <c r="J32" s="2"/>
      <c r="K32" s="2"/>
      <c r="L32" s="2"/>
      <c r="M32" s="2"/>
      <c r="N32" s="2"/>
      <c r="O32" s="2"/>
      <c r="P32" s="2"/>
      <c r="Q32" s="2"/>
      <c r="R32" s="2"/>
      <c r="S32" s="2"/>
      <c r="T32" s="2"/>
      <c r="U32" s="2"/>
      <c r="V32" s="2"/>
      <c r="W32" s="2"/>
      <c r="X32" s="2"/>
      <c r="Y32" s="2"/>
      <c r="Z32" s="2"/>
      <c r="AA32" s="2"/>
      <c r="AB32" s="2"/>
      <c r="AC32" s="2"/>
      <c r="AD32" s="2"/>
      <c r="AE32" s="3"/>
    </row>
    <row r="33" spans="1:31">
      <c r="A33" s="41">
        <v>173787961265182</v>
      </c>
      <c r="B33" s="4" t="s">
        <v>28</v>
      </c>
      <c r="C33" s="4">
        <v>1</v>
      </c>
      <c r="D33" s="4">
        <v>1</v>
      </c>
      <c r="E33" s="2" t="str">
        <f t="shared" si="0"/>
        <v>Veg</v>
      </c>
      <c r="F33" s="4"/>
      <c r="G33" s="4"/>
      <c r="H33" s="4"/>
      <c r="I33" s="4"/>
      <c r="J33" s="4"/>
      <c r="K33" s="4"/>
      <c r="L33" s="4"/>
      <c r="M33" s="4"/>
      <c r="N33" s="4"/>
      <c r="O33" s="4"/>
      <c r="P33" s="4"/>
      <c r="Q33" s="4"/>
      <c r="R33" s="4"/>
      <c r="S33" s="4"/>
      <c r="T33" s="4"/>
      <c r="U33" s="4"/>
      <c r="V33" s="4"/>
      <c r="W33" s="4"/>
      <c r="X33" s="4"/>
      <c r="Y33" s="4"/>
      <c r="Z33" s="4"/>
      <c r="AA33" s="4"/>
      <c r="AB33" s="4"/>
      <c r="AC33" s="4"/>
      <c r="AD33" s="4"/>
      <c r="AE33" s="5"/>
    </row>
    <row r="34" spans="1:31">
      <c r="A34" s="40">
        <v>173787961265182</v>
      </c>
      <c r="B34" s="2" t="s">
        <v>29</v>
      </c>
      <c r="C34" s="2">
        <v>0</v>
      </c>
      <c r="D34" s="2">
        <v>1</v>
      </c>
      <c r="E34" s="2" t="str">
        <f t="shared" si="0"/>
        <v>Non_Veg</v>
      </c>
      <c r="F34" s="2"/>
      <c r="G34" s="2"/>
      <c r="H34" s="2"/>
      <c r="I34" s="2"/>
      <c r="J34" s="2"/>
      <c r="K34" s="2"/>
      <c r="L34" s="2"/>
      <c r="M34" s="2"/>
      <c r="N34" s="2"/>
      <c r="O34" s="2"/>
      <c r="P34" s="2"/>
      <c r="Q34" s="2"/>
      <c r="R34" s="2"/>
      <c r="S34" s="2"/>
      <c r="T34" s="2"/>
      <c r="U34" s="2"/>
      <c r="V34" s="2"/>
      <c r="W34" s="2"/>
      <c r="X34" s="2"/>
      <c r="Y34" s="2"/>
      <c r="Z34" s="2"/>
      <c r="AA34" s="2"/>
      <c r="AB34" s="2"/>
      <c r="AC34" s="2"/>
      <c r="AD34" s="2"/>
      <c r="AE34" s="3"/>
    </row>
    <row r="35" spans="1:31">
      <c r="A35" s="41">
        <v>173787961265182</v>
      </c>
      <c r="B35" s="4" t="s">
        <v>22</v>
      </c>
      <c r="C35" s="4">
        <v>0</v>
      </c>
      <c r="D35" s="4">
        <v>1</v>
      </c>
      <c r="E35" s="2" t="str">
        <f t="shared" si="0"/>
        <v>Non_Veg</v>
      </c>
      <c r="F35" s="4"/>
      <c r="G35" s="4"/>
      <c r="H35" s="4"/>
      <c r="I35" s="4"/>
      <c r="J35" s="4"/>
      <c r="K35" s="4"/>
      <c r="L35" s="4"/>
      <c r="M35" s="4"/>
      <c r="N35" s="4"/>
      <c r="O35" s="4"/>
      <c r="P35" s="4"/>
      <c r="Q35" s="4"/>
      <c r="R35" s="4"/>
      <c r="S35" s="4"/>
      <c r="T35" s="4"/>
      <c r="U35" s="4"/>
      <c r="V35" s="4"/>
      <c r="W35" s="4"/>
      <c r="X35" s="4"/>
      <c r="Y35" s="4"/>
      <c r="Z35" s="4"/>
      <c r="AA35" s="4"/>
      <c r="AB35" s="4"/>
      <c r="AC35" s="4"/>
      <c r="AD35" s="4"/>
      <c r="AE35" s="5"/>
    </row>
    <row r="36" spans="1:31">
      <c r="A36" s="40">
        <v>173627120783219</v>
      </c>
      <c r="B36" s="2" t="s">
        <v>30</v>
      </c>
      <c r="C36" s="2">
        <v>0</v>
      </c>
      <c r="D36" s="2">
        <v>1</v>
      </c>
      <c r="E36" s="2" t="str">
        <f t="shared" si="0"/>
        <v>Non_Veg</v>
      </c>
      <c r="F36" s="2"/>
      <c r="G36" s="2"/>
      <c r="H36" s="2"/>
      <c r="I36" s="2"/>
      <c r="J36" s="2"/>
      <c r="K36" s="2"/>
      <c r="L36" s="2"/>
      <c r="M36" s="2"/>
      <c r="N36" s="2"/>
      <c r="O36" s="2"/>
      <c r="P36" s="2"/>
      <c r="Q36" s="2"/>
      <c r="R36" s="2"/>
      <c r="S36" s="2"/>
      <c r="T36" s="2"/>
      <c r="U36" s="2"/>
      <c r="V36" s="2"/>
      <c r="W36" s="2"/>
      <c r="X36" s="2"/>
      <c r="Y36" s="2"/>
      <c r="Z36" s="2"/>
      <c r="AA36" s="2"/>
      <c r="AB36" s="2"/>
      <c r="AC36" s="2"/>
      <c r="AD36" s="2"/>
      <c r="AE36" s="3"/>
    </row>
    <row r="37" spans="1:31">
      <c r="A37" s="41">
        <v>173528899495632</v>
      </c>
      <c r="B37" s="4" t="s">
        <v>17</v>
      </c>
      <c r="C37" s="4">
        <v>1</v>
      </c>
      <c r="D37" s="4">
        <v>1</v>
      </c>
      <c r="E37" s="2" t="str">
        <f t="shared" si="0"/>
        <v>Veg</v>
      </c>
      <c r="F37" s="4"/>
      <c r="G37" s="4"/>
      <c r="H37" s="4"/>
      <c r="I37" s="4"/>
      <c r="J37" s="4"/>
      <c r="K37" s="4"/>
      <c r="L37" s="4"/>
      <c r="M37" s="4"/>
      <c r="N37" s="4"/>
      <c r="O37" s="4"/>
      <c r="P37" s="4"/>
      <c r="Q37" s="4"/>
      <c r="R37" s="4"/>
      <c r="S37" s="4"/>
      <c r="T37" s="4"/>
      <c r="U37" s="4"/>
      <c r="V37" s="4"/>
      <c r="W37" s="4"/>
      <c r="X37" s="4"/>
      <c r="Y37" s="4"/>
      <c r="Z37" s="4"/>
      <c r="AA37" s="4"/>
      <c r="AB37" s="4"/>
      <c r="AC37" s="4"/>
      <c r="AD37" s="4"/>
      <c r="AE37" s="5"/>
    </row>
    <row r="38" spans="1:31">
      <c r="A38" s="40">
        <v>173528899495632</v>
      </c>
      <c r="B38" s="2" t="s">
        <v>5</v>
      </c>
      <c r="C38" s="2">
        <v>0</v>
      </c>
      <c r="D38" s="2">
        <v>2</v>
      </c>
      <c r="E38" s="2" t="str">
        <f t="shared" si="0"/>
        <v>Non_Veg</v>
      </c>
      <c r="F38" s="2"/>
      <c r="G38" s="2"/>
      <c r="H38" s="2"/>
      <c r="I38" s="2"/>
      <c r="J38" s="2"/>
      <c r="K38" s="2"/>
      <c r="L38" s="2"/>
      <c r="M38" s="2"/>
      <c r="N38" s="2"/>
      <c r="O38" s="2"/>
      <c r="P38" s="2"/>
      <c r="Q38" s="2"/>
      <c r="R38" s="2"/>
      <c r="S38" s="2"/>
      <c r="T38" s="2"/>
      <c r="U38" s="2"/>
      <c r="V38" s="2"/>
      <c r="W38" s="2"/>
      <c r="X38" s="2"/>
      <c r="Y38" s="2"/>
      <c r="Z38" s="2"/>
      <c r="AA38" s="2"/>
      <c r="AB38" s="2"/>
      <c r="AC38" s="2"/>
      <c r="AD38" s="2"/>
      <c r="AE38" s="3"/>
    </row>
    <row r="39" spans="1:31">
      <c r="A39" s="41">
        <v>173508364352211</v>
      </c>
      <c r="B39" s="4" t="s">
        <v>31</v>
      </c>
      <c r="C39" s="4">
        <v>1</v>
      </c>
      <c r="D39" s="4">
        <v>1</v>
      </c>
      <c r="E39" s="2" t="str">
        <f t="shared" si="0"/>
        <v>Veg</v>
      </c>
      <c r="F39" s="4"/>
      <c r="G39" s="4"/>
      <c r="H39" s="4"/>
      <c r="I39" s="4"/>
      <c r="J39" s="4"/>
      <c r="K39" s="4"/>
      <c r="L39" s="4"/>
      <c r="M39" s="4"/>
      <c r="N39" s="4"/>
      <c r="O39" s="4"/>
      <c r="P39" s="4"/>
      <c r="Q39" s="4"/>
      <c r="R39" s="4"/>
      <c r="S39" s="4"/>
      <c r="T39" s="4"/>
      <c r="U39" s="4"/>
      <c r="V39" s="4"/>
      <c r="W39" s="4"/>
      <c r="X39" s="4"/>
      <c r="Y39" s="4"/>
      <c r="Z39" s="4"/>
      <c r="AA39" s="4"/>
      <c r="AB39" s="4"/>
      <c r="AC39" s="4"/>
      <c r="AD39" s="4"/>
      <c r="AE39" s="5"/>
    </row>
    <row r="40" spans="1:31">
      <c r="A40" s="40">
        <v>173508364352211</v>
      </c>
      <c r="B40" s="2" t="s">
        <v>32</v>
      </c>
      <c r="C40" s="2">
        <v>1</v>
      </c>
      <c r="D40" s="2">
        <v>2</v>
      </c>
      <c r="E40" s="2" t="str">
        <f t="shared" si="0"/>
        <v>Veg</v>
      </c>
      <c r="F40" s="2"/>
      <c r="G40" s="2"/>
      <c r="H40" s="2"/>
      <c r="I40" s="2"/>
      <c r="J40" s="2"/>
      <c r="K40" s="2"/>
      <c r="L40" s="2"/>
      <c r="M40" s="2"/>
      <c r="N40" s="2"/>
      <c r="O40" s="2"/>
      <c r="P40" s="2"/>
      <c r="Q40" s="2"/>
      <c r="R40" s="2"/>
      <c r="S40" s="2"/>
      <c r="T40" s="2"/>
      <c r="U40" s="2"/>
      <c r="V40" s="2"/>
      <c r="W40" s="2"/>
      <c r="X40" s="2"/>
      <c r="Y40" s="2"/>
      <c r="Z40" s="2"/>
      <c r="AA40" s="2"/>
      <c r="AB40" s="2"/>
      <c r="AC40" s="2"/>
      <c r="AD40" s="2"/>
      <c r="AE40" s="3"/>
    </row>
    <row r="41" spans="1:31">
      <c r="A41" s="41">
        <v>173162395766364</v>
      </c>
      <c r="B41" s="4" t="s">
        <v>11</v>
      </c>
      <c r="C41" s="4">
        <v>1</v>
      </c>
      <c r="D41" s="4">
        <v>2</v>
      </c>
      <c r="E41" s="2" t="str">
        <f t="shared" si="0"/>
        <v>Veg</v>
      </c>
      <c r="F41" s="4"/>
      <c r="G41" s="4"/>
      <c r="H41" s="4"/>
      <c r="I41" s="4"/>
      <c r="J41" s="4"/>
      <c r="K41" s="4"/>
      <c r="L41" s="4"/>
      <c r="M41" s="4"/>
      <c r="N41" s="4"/>
      <c r="O41" s="4"/>
      <c r="P41" s="4"/>
      <c r="Q41" s="4"/>
      <c r="R41" s="4"/>
      <c r="S41" s="4"/>
      <c r="T41" s="4"/>
      <c r="U41" s="4"/>
      <c r="V41" s="4"/>
      <c r="W41" s="4"/>
      <c r="X41" s="4"/>
      <c r="Y41" s="4"/>
      <c r="Z41" s="4"/>
      <c r="AA41" s="4"/>
      <c r="AB41" s="4"/>
      <c r="AC41" s="4"/>
      <c r="AD41" s="4"/>
      <c r="AE41" s="5"/>
    </row>
    <row r="42" spans="1:31">
      <c r="A42" s="40">
        <v>173162395766364</v>
      </c>
      <c r="B42" s="2" t="s">
        <v>32</v>
      </c>
      <c r="C42" s="2">
        <v>1</v>
      </c>
      <c r="D42" s="2">
        <v>1</v>
      </c>
      <c r="E42" s="2" t="str">
        <f t="shared" si="0"/>
        <v>Veg</v>
      </c>
      <c r="F42" s="2"/>
      <c r="G42" s="2"/>
      <c r="H42" s="2"/>
      <c r="I42" s="2"/>
      <c r="J42" s="2"/>
      <c r="K42" s="2"/>
      <c r="L42" s="2"/>
      <c r="M42" s="2"/>
      <c r="N42" s="2"/>
      <c r="O42" s="2"/>
      <c r="P42" s="2"/>
      <c r="Q42" s="2"/>
      <c r="R42" s="2"/>
      <c r="S42" s="2"/>
      <c r="T42" s="2"/>
      <c r="U42" s="2"/>
      <c r="V42" s="2"/>
      <c r="W42" s="2"/>
      <c r="X42" s="2"/>
      <c r="Y42" s="2"/>
      <c r="Z42" s="2"/>
      <c r="AA42" s="2"/>
      <c r="AB42" s="2"/>
      <c r="AC42" s="2"/>
      <c r="AD42" s="2"/>
      <c r="AE42" s="3"/>
    </row>
    <row r="43" spans="1:31">
      <c r="A43" s="41">
        <v>173162271836174</v>
      </c>
      <c r="B43" s="4" t="s">
        <v>32</v>
      </c>
      <c r="C43" s="4">
        <v>1</v>
      </c>
      <c r="D43" s="4">
        <v>1</v>
      </c>
      <c r="E43" s="2" t="str">
        <f t="shared" si="0"/>
        <v>Veg</v>
      </c>
      <c r="F43" s="4"/>
      <c r="G43" s="4"/>
      <c r="H43" s="4"/>
      <c r="I43" s="4"/>
      <c r="J43" s="4"/>
      <c r="K43" s="4"/>
      <c r="L43" s="4"/>
      <c r="M43" s="4"/>
      <c r="N43" s="4"/>
      <c r="O43" s="4"/>
      <c r="P43" s="4"/>
      <c r="Q43" s="4"/>
      <c r="R43" s="4"/>
      <c r="S43" s="4"/>
      <c r="T43" s="4"/>
      <c r="U43" s="4"/>
      <c r="V43" s="4"/>
      <c r="W43" s="4"/>
      <c r="X43" s="4"/>
      <c r="Y43" s="4"/>
      <c r="Z43" s="4"/>
      <c r="AA43" s="4"/>
      <c r="AB43" s="4"/>
      <c r="AC43" s="4"/>
      <c r="AD43" s="4"/>
      <c r="AE43" s="5"/>
    </row>
    <row r="44" spans="1:31">
      <c r="A44" s="40">
        <v>173162271836174</v>
      </c>
      <c r="B44" s="2" t="s">
        <v>11</v>
      </c>
      <c r="C44" s="2">
        <v>1</v>
      </c>
      <c r="D44" s="2">
        <v>2</v>
      </c>
      <c r="E44" s="2" t="str">
        <f t="shared" si="0"/>
        <v>Veg</v>
      </c>
      <c r="F44" s="2"/>
      <c r="G44" s="2"/>
      <c r="H44" s="2"/>
      <c r="I44" s="2"/>
      <c r="J44" s="2"/>
      <c r="K44" s="2"/>
      <c r="L44" s="2"/>
      <c r="M44" s="2"/>
      <c r="N44" s="2"/>
      <c r="O44" s="2"/>
      <c r="P44" s="2"/>
      <c r="Q44" s="2"/>
      <c r="R44" s="2"/>
      <c r="S44" s="2"/>
      <c r="T44" s="2"/>
      <c r="U44" s="2"/>
      <c r="V44" s="2"/>
      <c r="W44" s="2"/>
      <c r="X44" s="2"/>
      <c r="Y44" s="2"/>
      <c r="Z44" s="2"/>
      <c r="AA44" s="2"/>
      <c r="AB44" s="2"/>
      <c r="AC44" s="2"/>
      <c r="AD44" s="2"/>
      <c r="AE44" s="3"/>
    </row>
    <row r="45" spans="1:31">
      <c r="A45" s="41">
        <v>173021459533483</v>
      </c>
      <c r="B45" s="4" t="s">
        <v>33</v>
      </c>
      <c r="C45" s="4">
        <v>0</v>
      </c>
      <c r="D45" s="4">
        <v>1</v>
      </c>
      <c r="E45" s="2" t="str">
        <f t="shared" si="0"/>
        <v>Non_Veg</v>
      </c>
      <c r="F45" s="4"/>
      <c r="G45" s="4"/>
      <c r="H45" s="4"/>
      <c r="I45" s="4"/>
      <c r="J45" s="4"/>
      <c r="K45" s="4"/>
      <c r="L45" s="4"/>
      <c r="M45" s="4"/>
      <c r="N45" s="4"/>
      <c r="O45" s="4"/>
      <c r="P45" s="4"/>
      <c r="Q45" s="4"/>
      <c r="R45" s="4"/>
      <c r="S45" s="4"/>
      <c r="T45" s="4"/>
      <c r="U45" s="4"/>
      <c r="V45" s="4"/>
      <c r="W45" s="4"/>
      <c r="X45" s="4"/>
      <c r="Y45" s="4"/>
      <c r="Z45" s="4"/>
      <c r="AA45" s="4"/>
      <c r="AB45" s="4"/>
      <c r="AC45" s="4"/>
      <c r="AD45" s="4"/>
      <c r="AE45" s="5"/>
    </row>
    <row r="46" spans="1:31">
      <c r="A46" s="40">
        <v>172937451496694</v>
      </c>
      <c r="B46" s="2" t="s">
        <v>34</v>
      </c>
      <c r="C46" s="2">
        <v>0</v>
      </c>
      <c r="D46" s="2">
        <v>1</v>
      </c>
      <c r="E46" s="2" t="str">
        <f t="shared" si="0"/>
        <v>Non_Veg</v>
      </c>
      <c r="F46" s="2"/>
      <c r="G46" s="2"/>
      <c r="H46" s="2"/>
      <c r="I46" s="2"/>
      <c r="J46" s="2"/>
      <c r="K46" s="2"/>
      <c r="L46" s="2"/>
      <c r="M46" s="2"/>
      <c r="N46" s="2"/>
      <c r="O46" s="2"/>
      <c r="P46" s="2"/>
      <c r="Q46" s="2"/>
      <c r="R46" s="2"/>
      <c r="S46" s="2"/>
      <c r="T46" s="2"/>
      <c r="U46" s="2"/>
      <c r="V46" s="2"/>
      <c r="W46" s="2"/>
      <c r="X46" s="2"/>
      <c r="Y46" s="2"/>
      <c r="Z46" s="2"/>
      <c r="AA46" s="2"/>
      <c r="AB46" s="2"/>
      <c r="AC46" s="2"/>
      <c r="AD46" s="2"/>
      <c r="AE46" s="3"/>
    </row>
    <row r="47" spans="1:31">
      <c r="A47" s="41">
        <v>172865582370674</v>
      </c>
      <c r="B47" s="4" t="s">
        <v>35</v>
      </c>
      <c r="C47" s="4">
        <v>1</v>
      </c>
      <c r="D47" s="4">
        <v>1</v>
      </c>
      <c r="E47" s="2" t="str">
        <f t="shared" si="0"/>
        <v>Veg</v>
      </c>
      <c r="F47" s="4"/>
      <c r="G47" s="4"/>
      <c r="H47" s="4"/>
      <c r="I47" s="4"/>
      <c r="J47" s="4"/>
      <c r="K47" s="4"/>
      <c r="L47" s="4"/>
      <c r="M47" s="4"/>
      <c r="N47" s="4"/>
      <c r="O47" s="4"/>
      <c r="P47" s="4"/>
      <c r="Q47" s="4"/>
      <c r="R47" s="4"/>
      <c r="S47" s="4"/>
      <c r="T47" s="4"/>
      <c r="U47" s="4"/>
      <c r="V47" s="4"/>
      <c r="W47" s="4"/>
      <c r="X47" s="4"/>
      <c r="Y47" s="4"/>
      <c r="Z47" s="4"/>
      <c r="AA47" s="4"/>
      <c r="AB47" s="4"/>
      <c r="AC47" s="4"/>
      <c r="AD47" s="4"/>
      <c r="AE47" s="5"/>
    </row>
    <row r="48" spans="1:31">
      <c r="A48" s="40">
        <v>172849812190412</v>
      </c>
      <c r="B48" s="2" t="s">
        <v>12</v>
      </c>
      <c r="C48" s="2">
        <v>0</v>
      </c>
      <c r="D48" s="2">
        <v>1</v>
      </c>
      <c r="E48" s="2" t="str">
        <f t="shared" si="0"/>
        <v>Non_Veg</v>
      </c>
      <c r="F48" s="2"/>
      <c r="G48" s="2"/>
      <c r="H48" s="2"/>
      <c r="I48" s="2"/>
      <c r="J48" s="2"/>
      <c r="K48" s="2"/>
      <c r="L48" s="2"/>
      <c r="M48" s="2"/>
      <c r="N48" s="2"/>
      <c r="O48" s="2"/>
      <c r="P48" s="2"/>
      <c r="Q48" s="2"/>
      <c r="R48" s="2"/>
      <c r="S48" s="2"/>
      <c r="T48" s="2"/>
      <c r="U48" s="2"/>
      <c r="V48" s="2"/>
      <c r="W48" s="2"/>
      <c r="X48" s="2"/>
      <c r="Y48" s="2"/>
      <c r="Z48" s="2"/>
      <c r="AA48" s="2"/>
      <c r="AB48" s="2"/>
      <c r="AC48" s="2"/>
      <c r="AD48" s="2"/>
      <c r="AE48" s="3"/>
    </row>
    <row r="49" spans="1:31">
      <c r="A49" s="41">
        <v>172765721740638</v>
      </c>
      <c r="B49" s="4" t="s">
        <v>36</v>
      </c>
      <c r="C49" s="4">
        <v>0</v>
      </c>
      <c r="D49" s="4">
        <v>1</v>
      </c>
      <c r="E49" s="2" t="str">
        <f t="shared" si="0"/>
        <v>Non_Veg</v>
      </c>
      <c r="F49" s="4"/>
      <c r="G49" s="4"/>
      <c r="H49" s="4"/>
      <c r="I49" s="4"/>
      <c r="J49" s="4"/>
      <c r="K49" s="4"/>
      <c r="L49" s="4"/>
      <c r="M49" s="4"/>
      <c r="N49" s="4"/>
      <c r="O49" s="4"/>
      <c r="P49" s="4"/>
      <c r="Q49" s="4"/>
      <c r="R49" s="4"/>
      <c r="S49" s="4"/>
      <c r="T49" s="4"/>
      <c r="U49" s="4"/>
      <c r="V49" s="4"/>
      <c r="W49" s="4"/>
      <c r="X49" s="4"/>
      <c r="Y49" s="4"/>
      <c r="Z49" s="4"/>
      <c r="AA49" s="4"/>
      <c r="AB49" s="4"/>
      <c r="AC49" s="4"/>
      <c r="AD49" s="4"/>
      <c r="AE49" s="5"/>
    </row>
    <row r="50" spans="1:31">
      <c r="A50" s="40">
        <v>172765721740638</v>
      </c>
      <c r="B50" s="2" t="s">
        <v>37</v>
      </c>
      <c r="C50" s="2">
        <v>0</v>
      </c>
      <c r="D50" s="2">
        <v>1</v>
      </c>
      <c r="E50" s="2" t="str">
        <f t="shared" si="0"/>
        <v>Non_Veg</v>
      </c>
      <c r="F50" s="2"/>
      <c r="G50" s="2"/>
      <c r="H50" s="2"/>
      <c r="I50" s="2"/>
      <c r="J50" s="2"/>
      <c r="K50" s="2"/>
      <c r="L50" s="2"/>
      <c r="M50" s="2"/>
      <c r="N50" s="2"/>
      <c r="O50" s="2"/>
      <c r="P50" s="2"/>
      <c r="Q50" s="2"/>
      <c r="R50" s="2"/>
      <c r="S50" s="2"/>
      <c r="T50" s="2"/>
      <c r="U50" s="2"/>
      <c r="V50" s="2"/>
      <c r="W50" s="2"/>
      <c r="X50" s="2"/>
      <c r="Y50" s="2"/>
      <c r="Z50" s="2"/>
      <c r="AA50" s="2"/>
      <c r="AB50" s="2"/>
      <c r="AC50" s="2"/>
      <c r="AD50" s="2"/>
      <c r="AE50" s="3"/>
    </row>
    <row r="51" spans="1:31">
      <c r="A51" s="41">
        <v>172415621290914</v>
      </c>
      <c r="B51" s="4" t="s">
        <v>37</v>
      </c>
      <c r="C51" s="4">
        <v>0</v>
      </c>
      <c r="D51" s="4">
        <v>1</v>
      </c>
      <c r="E51" s="2" t="str">
        <f t="shared" si="0"/>
        <v>Non_Veg</v>
      </c>
      <c r="F51" s="4"/>
      <c r="G51" s="4"/>
      <c r="H51" s="4"/>
      <c r="I51" s="4"/>
      <c r="J51" s="4"/>
      <c r="K51" s="4"/>
      <c r="L51" s="4"/>
      <c r="M51" s="4"/>
      <c r="N51" s="4"/>
      <c r="O51" s="4"/>
      <c r="P51" s="4"/>
      <c r="Q51" s="4"/>
      <c r="R51" s="4"/>
      <c r="S51" s="4"/>
      <c r="T51" s="4"/>
      <c r="U51" s="4"/>
      <c r="V51" s="4"/>
      <c r="W51" s="4"/>
      <c r="X51" s="4"/>
      <c r="Y51" s="4"/>
      <c r="Z51" s="4"/>
      <c r="AA51" s="4"/>
      <c r="AB51" s="4"/>
      <c r="AC51" s="4"/>
      <c r="AD51" s="4"/>
      <c r="AE51" s="5"/>
    </row>
    <row r="52" spans="1:31">
      <c r="A52" s="40">
        <v>171120236353593</v>
      </c>
      <c r="B52" s="2" t="s">
        <v>37</v>
      </c>
      <c r="C52" s="2">
        <v>0</v>
      </c>
      <c r="D52" s="2">
        <v>1</v>
      </c>
      <c r="E52" s="2" t="str">
        <f t="shared" si="0"/>
        <v>Non_Veg</v>
      </c>
      <c r="F52" s="2"/>
      <c r="G52" s="2"/>
      <c r="H52" s="2"/>
      <c r="I52" s="2"/>
      <c r="J52" s="2"/>
      <c r="K52" s="2"/>
      <c r="L52" s="2"/>
      <c r="M52" s="2"/>
      <c r="N52" s="2"/>
      <c r="O52" s="2"/>
      <c r="P52" s="2"/>
      <c r="Q52" s="2"/>
      <c r="R52" s="2"/>
      <c r="S52" s="2"/>
      <c r="T52" s="2"/>
      <c r="U52" s="2"/>
      <c r="V52" s="2"/>
      <c r="W52" s="2"/>
      <c r="X52" s="2"/>
      <c r="Y52" s="2"/>
      <c r="Z52" s="2"/>
      <c r="AA52" s="2"/>
      <c r="AB52" s="2"/>
      <c r="AC52" s="2"/>
      <c r="AD52" s="2"/>
      <c r="AE52" s="3"/>
    </row>
    <row r="53" spans="1:31">
      <c r="A53" s="41">
        <v>170949181342493</v>
      </c>
      <c r="B53" s="4" t="s">
        <v>37</v>
      </c>
      <c r="C53" s="4">
        <v>0</v>
      </c>
      <c r="D53" s="4">
        <v>1</v>
      </c>
      <c r="E53" s="2" t="str">
        <f t="shared" si="0"/>
        <v>Non_Veg</v>
      </c>
      <c r="F53" s="4"/>
      <c r="G53" s="4"/>
      <c r="H53" s="4"/>
      <c r="I53" s="4"/>
      <c r="J53" s="4"/>
      <c r="K53" s="4"/>
      <c r="L53" s="4"/>
      <c r="M53" s="4"/>
      <c r="N53" s="4"/>
      <c r="O53" s="4"/>
      <c r="P53" s="4"/>
      <c r="Q53" s="4"/>
      <c r="R53" s="4"/>
      <c r="S53" s="4"/>
      <c r="T53" s="4"/>
      <c r="U53" s="4"/>
      <c r="V53" s="4"/>
      <c r="W53" s="4"/>
      <c r="X53" s="4"/>
      <c r="Y53" s="4"/>
      <c r="Z53" s="4"/>
      <c r="AA53" s="4"/>
      <c r="AB53" s="4"/>
      <c r="AC53" s="4"/>
      <c r="AD53" s="4"/>
      <c r="AE53" s="5"/>
    </row>
    <row r="54" spans="1:31">
      <c r="A54" s="40">
        <v>170849767634192</v>
      </c>
      <c r="B54" s="2" t="s">
        <v>37</v>
      </c>
      <c r="C54" s="2">
        <v>0</v>
      </c>
      <c r="D54" s="2">
        <v>1</v>
      </c>
      <c r="E54" s="2" t="str">
        <f t="shared" si="0"/>
        <v>Non_Veg</v>
      </c>
      <c r="F54" s="2"/>
      <c r="G54" s="2"/>
      <c r="H54" s="2"/>
      <c r="I54" s="2"/>
      <c r="J54" s="2"/>
      <c r="K54" s="2"/>
      <c r="L54" s="2"/>
      <c r="M54" s="2"/>
      <c r="N54" s="2"/>
      <c r="O54" s="2"/>
      <c r="P54" s="2"/>
      <c r="Q54" s="2"/>
      <c r="R54" s="2"/>
      <c r="S54" s="2"/>
      <c r="T54" s="2"/>
      <c r="U54" s="2"/>
      <c r="V54" s="2"/>
      <c r="W54" s="2"/>
      <c r="X54" s="2"/>
      <c r="Y54" s="2"/>
      <c r="Z54" s="2"/>
      <c r="AA54" s="2"/>
      <c r="AB54" s="2"/>
      <c r="AC54" s="2"/>
      <c r="AD54" s="2"/>
      <c r="AE54" s="3"/>
    </row>
    <row r="55" spans="1:31">
      <c r="A55" s="41">
        <v>170326417874188</v>
      </c>
      <c r="B55" s="4" t="s">
        <v>38</v>
      </c>
      <c r="C55" s="4">
        <v>0</v>
      </c>
      <c r="D55" s="4">
        <v>1</v>
      </c>
      <c r="E55" s="2" t="str">
        <f t="shared" si="0"/>
        <v>Non_Veg</v>
      </c>
      <c r="F55" s="4"/>
      <c r="G55" s="4"/>
      <c r="H55" s="4"/>
      <c r="I55" s="4"/>
      <c r="J55" s="4"/>
      <c r="K55" s="4"/>
      <c r="L55" s="4"/>
      <c r="M55" s="4"/>
      <c r="N55" s="4"/>
      <c r="O55" s="4"/>
      <c r="P55" s="4"/>
      <c r="Q55" s="4"/>
      <c r="R55" s="4"/>
      <c r="S55" s="4"/>
      <c r="T55" s="4"/>
      <c r="U55" s="4"/>
      <c r="V55" s="4"/>
      <c r="W55" s="4"/>
      <c r="X55" s="4"/>
      <c r="Y55" s="4"/>
      <c r="Z55" s="4"/>
      <c r="AA55" s="4"/>
      <c r="AB55" s="4"/>
      <c r="AC55" s="4"/>
      <c r="AD55" s="4"/>
      <c r="AE55" s="5"/>
    </row>
    <row r="56" spans="1:31">
      <c r="A56" s="40">
        <v>169997934599848</v>
      </c>
      <c r="B56" s="2" t="s">
        <v>38</v>
      </c>
      <c r="C56" s="2">
        <v>0</v>
      </c>
      <c r="D56" s="2">
        <v>1</v>
      </c>
      <c r="E56" s="2" t="str">
        <f t="shared" si="0"/>
        <v>Non_Veg</v>
      </c>
      <c r="F56" s="2"/>
      <c r="G56" s="2"/>
      <c r="H56" s="2"/>
      <c r="I56" s="2"/>
      <c r="J56" s="2"/>
      <c r="K56" s="2"/>
      <c r="L56" s="2"/>
      <c r="M56" s="2"/>
      <c r="N56" s="2"/>
      <c r="O56" s="2"/>
      <c r="P56" s="2"/>
      <c r="Q56" s="2"/>
      <c r="R56" s="2"/>
      <c r="S56" s="2"/>
      <c r="T56" s="2"/>
      <c r="U56" s="2"/>
      <c r="V56" s="2"/>
      <c r="W56" s="2"/>
      <c r="X56" s="2"/>
      <c r="Y56" s="2"/>
      <c r="Z56" s="2"/>
      <c r="AA56" s="2"/>
      <c r="AB56" s="2"/>
      <c r="AC56" s="2"/>
      <c r="AD56" s="2"/>
      <c r="AE56" s="3"/>
    </row>
    <row r="57" spans="1:31">
      <c r="A57" s="41">
        <v>169997934599848</v>
      </c>
      <c r="B57" s="4" t="s">
        <v>39</v>
      </c>
      <c r="C57" s="4">
        <v>0</v>
      </c>
      <c r="D57" s="4">
        <v>1</v>
      </c>
      <c r="E57" s="2" t="str">
        <f t="shared" si="0"/>
        <v>Non_Veg</v>
      </c>
      <c r="F57" s="4"/>
      <c r="G57" s="4"/>
      <c r="H57" s="4"/>
      <c r="I57" s="4"/>
      <c r="J57" s="4"/>
      <c r="K57" s="4"/>
      <c r="L57" s="4"/>
      <c r="M57" s="4"/>
      <c r="N57" s="4"/>
      <c r="O57" s="4"/>
      <c r="P57" s="4"/>
      <c r="Q57" s="4"/>
      <c r="R57" s="4"/>
      <c r="S57" s="4"/>
      <c r="T57" s="4"/>
      <c r="U57" s="4"/>
      <c r="V57" s="4"/>
      <c r="W57" s="4"/>
      <c r="X57" s="4"/>
      <c r="Y57" s="4"/>
      <c r="Z57" s="4"/>
      <c r="AA57" s="4"/>
      <c r="AB57" s="4"/>
      <c r="AC57" s="4"/>
      <c r="AD57" s="4"/>
      <c r="AE57" s="5"/>
    </row>
    <row r="58" spans="1:31">
      <c r="A58" s="40">
        <v>169054716176265</v>
      </c>
      <c r="B58" s="2" t="s">
        <v>38</v>
      </c>
      <c r="C58" s="2">
        <v>0</v>
      </c>
      <c r="D58" s="2">
        <v>1</v>
      </c>
      <c r="E58" s="2" t="str">
        <f t="shared" si="0"/>
        <v>Non_Veg</v>
      </c>
      <c r="F58" s="2"/>
      <c r="G58" s="2"/>
      <c r="H58" s="2"/>
      <c r="I58" s="2"/>
      <c r="J58" s="2"/>
      <c r="K58" s="2"/>
      <c r="L58" s="2"/>
      <c r="M58" s="2"/>
      <c r="N58" s="2"/>
      <c r="O58" s="2"/>
      <c r="P58" s="2"/>
      <c r="Q58" s="2"/>
      <c r="R58" s="2"/>
      <c r="S58" s="2"/>
      <c r="T58" s="2"/>
      <c r="U58" s="2"/>
      <c r="V58" s="2"/>
      <c r="W58" s="2"/>
      <c r="X58" s="2"/>
      <c r="Y58" s="2"/>
      <c r="Z58" s="2"/>
      <c r="AA58" s="2"/>
      <c r="AB58" s="2"/>
      <c r="AC58" s="2"/>
      <c r="AD58" s="2"/>
      <c r="AE58" s="3"/>
    </row>
    <row r="59" spans="1:31">
      <c r="A59" s="41">
        <v>168959031219038</v>
      </c>
      <c r="B59" s="4" t="s">
        <v>39</v>
      </c>
      <c r="C59" s="4">
        <v>0</v>
      </c>
      <c r="D59" s="4">
        <v>1</v>
      </c>
      <c r="E59" s="2" t="str">
        <f t="shared" si="0"/>
        <v>Non_Veg</v>
      </c>
      <c r="F59" s="4"/>
      <c r="G59" s="4"/>
      <c r="H59" s="4"/>
      <c r="I59" s="4"/>
      <c r="J59" s="4"/>
      <c r="K59" s="4"/>
      <c r="L59" s="4"/>
      <c r="M59" s="4"/>
      <c r="N59" s="4"/>
      <c r="O59" s="4"/>
      <c r="P59" s="4"/>
      <c r="Q59" s="4"/>
      <c r="R59" s="4"/>
      <c r="S59" s="4"/>
      <c r="T59" s="4"/>
      <c r="U59" s="4"/>
      <c r="V59" s="4"/>
      <c r="W59" s="4"/>
      <c r="X59" s="4"/>
      <c r="Y59" s="4"/>
      <c r="Z59" s="4"/>
      <c r="AA59" s="4"/>
      <c r="AB59" s="4"/>
      <c r="AC59" s="4"/>
      <c r="AD59" s="4"/>
      <c r="AE59" s="5"/>
    </row>
    <row r="60" spans="1:31">
      <c r="A60" s="40">
        <v>168877172918547</v>
      </c>
      <c r="B60" s="2" t="s">
        <v>40</v>
      </c>
      <c r="C60" s="2">
        <v>0</v>
      </c>
      <c r="D60" s="2">
        <v>1</v>
      </c>
      <c r="E60" s="2" t="str">
        <f t="shared" si="0"/>
        <v>Non_Veg</v>
      </c>
      <c r="F60" s="2"/>
      <c r="G60" s="2"/>
      <c r="H60" s="2"/>
      <c r="I60" s="2"/>
      <c r="J60" s="2"/>
      <c r="K60" s="2"/>
      <c r="L60" s="2"/>
      <c r="M60" s="2"/>
      <c r="N60" s="2"/>
      <c r="O60" s="2"/>
      <c r="P60" s="2"/>
      <c r="Q60" s="2"/>
      <c r="R60" s="2"/>
      <c r="S60" s="2"/>
      <c r="T60" s="2"/>
      <c r="U60" s="2"/>
      <c r="V60" s="2"/>
      <c r="W60" s="2"/>
      <c r="X60" s="2"/>
      <c r="Y60" s="2"/>
      <c r="Z60" s="2"/>
      <c r="AA60" s="2"/>
      <c r="AB60" s="2"/>
      <c r="AC60" s="2"/>
      <c r="AD60" s="2"/>
      <c r="AE60" s="3"/>
    </row>
    <row r="61" spans="1:31">
      <c r="A61" s="41">
        <v>168622214022977</v>
      </c>
      <c r="B61" s="4" t="s">
        <v>39</v>
      </c>
      <c r="C61" s="4">
        <v>0</v>
      </c>
      <c r="D61" s="4">
        <v>1</v>
      </c>
      <c r="E61" s="2" t="str">
        <f t="shared" si="0"/>
        <v>Non_Veg</v>
      </c>
      <c r="F61" s="4"/>
      <c r="G61" s="4"/>
      <c r="H61" s="4"/>
      <c r="I61" s="4"/>
      <c r="J61" s="4"/>
      <c r="K61" s="4"/>
      <c r="L61" s="4"/>
      <c r="M61" s="4"/>
      <c r="N61" s="4"/>
      <c r="O61" s="4"/>
      <c r="P61" s="4"/>
      <c r="Q61" s="4"/>
      <c r="R61" s="4"/>
      <c r="S61" s="4"/>
      <c r="T61" s="4"/>
      <c r="U61" s="4"/>
      <c r="V61" s="4"/>
      <c r="W61" s="4"/>
      <c r="X61" s="4"/>
      <c r="Y61" s="4"/>
      <c r="Z61" s="4"/>
      <c r="AA61" s="4"/>
      <c r="AB61" s="4"/>
      <c r="AC61" s="4"/>
      <c r="AD61" s="4"/>
      <c r="AE61" s="5"/>
    </row>
    <row r="62" spans="1:31">
      <c r="A62" s="40">
        <v>168513609258675</v>
      </c>
      <c r="B62" s="2" t="s">
        <v>7</v>
      </c>
      <c r="C62" s="2">
        <v>0</v>
      </c>
      <c r="D62" s="2">
        <v>1</v>
      </c>
      <c r="E62" s="2" t="str">
        <f t="shared" si="0"/>
        <v>Non_Veg</v>
      </c>
      <c r="F62" s="2"/>
      <c r="G62" s="2"/>
      <c r="H62" s="2"/>
      <c r="I62" s="2"/>
      <c r="J62" s="2"/>
      <c r="K62" s="2"/>
      <c r="L62" s="2"/>
      <c r="M62" s="2"/>
      <c r="N62" s="2"/>
      <c r="O62" s="2"/>
      <c r="P62" s="2"/>
      <c r="Q62" s="2"/>
      <c r="R62" s="2"/>
      <c r="S62" s="2"/>
      <c r="T62" s="2"/>
      <c r="U62" s="2"/>
      <c r="V62" s="2"/>
      <c r="W62" s="2"/>
      <c r="X62" s="2"/>
      <c r="Y62" s="2"/>
      <c r="Z62" s="2"/>
      <c r="AA62" s="2"/>
      <c r="AB62" s="2"/>
      <c r="AC62" s="2"/>
      <c r="AD62" s="2"/>
      <c r="AE62" s="3"/>
    </row>
    <row r="63" spans="1:31">
      <c r="A63" s="41">
        <v>168513609258675</v>
      </c>
      <c r="B63" s="4" t="s">
        <v>41</v>
      </c>
      <c r="C63" s="4">
        <v>0</v>
      </c>
      <c r="D63" s="4">
        <v>1</v>
      </c>
      <c r="E63" s="2" t="str">
        <f t="shared" si="0"/>
        <v>Non_Veg</v>
      </c>
      <c r="F63" s="4"/>
      <c r="G63" s="4"/>
      <c r="H63" s="4"/>
      <c r="I63" s="4"/>
      <c r="J63" s="4"/>
      <c r="K63" s="4"/>
      <c r="L63" s="4"/>
      <c r="M63" s="4"/>
      <c r="N63" s="4"/>
      <c r="O63" s="4"/>
      <c r="P63" s="4"/>
      <c r="Q63" s="4"/>
      <c r="R63" s="4"/>
      <c r="S63" s="4"/>
      <c r="T63" s="4"/>
      <c r="U63" s="4"/>
      <c r="V63" s="4"/>
      <c r="W63" s="4"/>
      <c r="X63" s="4"/>
      <c r="Y63" s="4"/>
      <c r="Z63" s="4"/>
      <c r="AA63" s="4"/>
      <c r="AB63" s="4"/>
      <c r="AC63" s="4"/>
      <c r="AD63" s="4"/>
      <c r="AE63" s="5"/>
    </row>
    <row r="64" spans="1:31">
      <c r="A64" s="40">
        <v>168438354785516</v>
      </c>
      <c r="B64" s="2" t="s">
        <v>14</v>
      </c>
      <c r="C64" s="2">
        <v>1</v>
      </c>
      <c r="D64" s="2">
        <v>1</v>
      </c>
      <c r="E64" s="2" t="str">
        <f t="shared" si="0"/>
        <v>Veg</v>
      </c>
      <c r="F64" s="2"/>
      <c r="G64" s="2"/>
      <c r="H64" s="2"/>
      <c r="I64" s="2"/>
      <c r="J64" s="2"/>
      <c r="K64" s="2"/>
      <c r="L64" s="2"/>
      <c r="M64" s="2"/>
      <c r="N64" s="2"/>
      <c r="O64" s="2"/>
      <c r="P64" s="2"/>
      <c r="Q64" s="2"/>
      <c r="R64" s="2"/>
      <c r="S64" s="2"/>
      <c r="T64" s="2"/>
      <c r="U64" s="2"/>
      <c r="V64" s="2"/>
      <c r="W64" s="2"/>
      <c r="X64" s="2"/>
      <c r="Y64" s="2"/>
      <c r="Z64" s="2"/>
      <c r="AA64" s="2"/>
      <c r="AB64" s="2"/>
      <c r="AC64" s="2"/>
      <c r="AD64" s="2"/>
      <c r="AE64" s="3"/>
    </row>
    <row r="65" spans="1:31">
      <c r="A65" s="41">
        <v>168293863851738</v>
      </c>
      <c r="B65" s="4" t="s">
        <v>42</v>
      </c>
      <c r="C65" s="4">
        <v>1</v>
      </c>
      <c r="D65" s="4">
        <v>1</v>
      </c>
      <c r="E65" s="2" t="str">
        <f t="shared" si="0"/>
        <v>Veg</v>
      </c>
      <c r="F65" s="4"/>
      <c r="G65" s="4"/>
      <c r="H65" s="4"/>
      <c r="I65" s="4"/>
      <c r="J65" s="4"/>
      <c r="K65" s="4"/>
      <c r="L65" s="4"/>
      <c r="M65" s="4"/>
      <c r="N65" s="4"/>
      <c r="O65" s="4"/>
      <c r="P65" s="4"/>
      <c r="Q65" s="4"/>
      <c r="R65" s="4"/>
      <c r="S65" s="4"/>
      <c r="T65" s="4"/>
      <c r="U65" s="4"/>
      <c r="V65" s="4"/>
      <c r="W65" s="4"/>
      <c r="X65" s="4"/>
      <c r="Y65" s="4"/>
      <c r="Z65" s="4"/>
      <c r="AA65" s="4"/>
      <c r="AB65" s="4"/>
      <c r="AC65" s="4"/>
      <c r="AD65" s="4"/>
      <c r="AE65" s="5"/>
    </row>
    <row r="66" spans="1:31">
      <c r="A66" s="40">
        <v>168293863851738</v>
      </c>
      <c r="B66" s="2" t="s">
        <v>43</v>
      </c>
      <c r="C66" s="2">
        <v>1</v>
      </c>
      <c r="D66" s="2">
        <v>1</v>
      </c>
      <c r="E66" s="2" t="str">
        <f t="shared" si="0"/>
        <v>Veg</v>
      </c>
      <c r="F66" s="2"/>
      <c r="G66" s="2"/>
      <c r="H66" s="2"/>
      <c r="I66" s="2"/>
      <c r="J66" s="2"/>
      <c r="K66" s="2"/>
      <c r="L66" s="2"/>
      <c r="M66" s="2"/>
      <c r="N66" s="2"/>
      <c r="O66" s="2"/>
      <c r="P66" s="2"/>
      <c r="Q66" s="2"/>
      <c r="R66" s="2"/>
      <c r="S66" s="2"/>
      <c r="T66" s="2"/>
      <c r="U66" s="2"/>
      <c r="V66" s="2"/>
      <c r="W66" s="2"/>
      <c r="X66" s="2"/>
      <c r="Y66" s="2"/>
      <c r="Z66" s="2"/>
      <c r="AA66" s="2"/>
      <c r="AB66" s="2"/>
      <c r="AC66" s="2"/>
      <c r="AD66" s="2"/>
      <c r="AE66" s="3"/>
    </row>
    <row r="67" spans="1:31">
      <c r="A67" s="41">
        <v>168028113662672</v>
      </c>
      <c r="B67" s="4" t="s">
        <v>44</v>
      </c>
      <c r="C67" s="4">
        <v>0</v>
      </c>
      <c r="D67" s="4">
        <v>1</v>
      </c>
      <c r="E67" s="2" t="str">
        <f t="shared" ref="E67:E130" si="1">IF(C67=0,"Non_Veg","Veg")</f>
        <v>Non_Veg</v>
      </c>
      <c r="F67" s="4"/>
      <c r="G67" s="4"/>
      <c r="H67" s="4"/>
      <c r="I67" s="4"/>
      <c r="J67" s="4"/>
      <c r="K67" s="4"/>
      <c r="L67" s="4"/>
      <c r="M67" s="4"/>
      <c r="N67" s="4"/>
      <c r="O67" s="4"/>
      <c r="P67" s="4"/>
      <c r="Q67" s="4"/>
      <c r="R67" s="4"/>
      <c r="S67" s="4"/>
      <c r="T67" s="4"/>
      <c r="U67" s="4"/>
      <c r="V67" s="4"/>
      <c r="W67" s="4"/>
      <c r="X67" s="4"/>
      <c r="Y67" s="4"/>
      <c r="Z67" s="4"/>
      <c r="AA67" s="4"/>
      <c r="AB67" s="4"/>
      <c r="AC67" s="4"/>
      <c r="AD67" s="4"/>
      <c r="AE67" s="5"/>
    </row>
    <row r="68" spans="1:31">
      <c r="A68" s="40">
        <v>168013539245633</v>
      </c>
      <c r="B68" s="2" t="s">
        <v>39</v>
      </c>
      <c r="C68" s="2">
        <v>0</v>
      </c>
      <c r="D68" s="2">
        <v>1</v>
      </c>
      <c r="E68" s="2" t="str">
        <f t="shared" si="1"/>
        <v>Non_Veg</v>
      </c>
      <c r="F68" s="2"/>
      <c r="G68" s="2"/>
      <c r="H68" s="2"/>
      <c r="I68" s="2"/>
      <c r="J68" s="2"/>
      <c r="K68" s="2"/>
      <c r="L68" s="2"/>
      <c r="M68" s="2"/>
      <c r="N68" s="2"/>
      <c r="O68" s="2"/>
      <c r="P68" s="2"/>
      <c r="Q68" s="2"/>
      <c r="R68" s="2"/>
      <c r="S68" s="2"/>
      <c r="T68" s="2"/>
      <c r="U68" s="2"/>
      <c r="V68" s="2"/>
      <c r="W68" s="2"/>
      <c r="X68" s="2"/>
      <c r="Y68" s="2"/>
      <c r="Z68" s="2"/>
      <c r="AA68" s="2"/>
      <c r="AB68" s="2"/>
      <c r="AC68" s="2"/>
      <c r="AD68" s="2"/>
      <c r="AE68" s="3"/>
    </row>
    <row r="69" spans="1:31">
      <c r="A69" s="41">
        <v>167927988529759</v>
      </c>
      <c r="B69" s="4" t="s">
        <v>44</v>
      </c>
      <c r="C69" s="4">
        <v>0</v>
      </c>
      <c r="D69" s="4">
        <v>1</v>
      </c>
      <c r="E69" s="2" t="str">
        <f t="shared" si="1"/>
        <v>Non_Veg</v>
      </c>
      <c r="F69" s="4"/>
      <c r="G69" s="4"/>
      <c r="H69" s="4"/>
      <c r="I69" s="4"/>
      <c r="J69" s="4"/>
      <c r="K69" s="4"/>
      <c r="L69" s="4"/>
      <c r="M69" s="4"/>
      <c r="N69" s="4"/>
      <c r="O69" s="4"/>
      <c r="P69" s="4"/>
      <c r="Q69" s="4"/>
      <c r="R69" s="4"/>
      <c r="S69" s="4"/>
      <c r="T69" s="4"/>
      <c r="U69" s="4"/>
      <c r="V69" s="4"/>
      <c r="W69" s="4"/>
      <c r="X69" s="4"/>
      <c r="Y69" s="4"/>
      <c r="Z69" s="4"/>
      <c r="AA69" s="4"/>
      <c r="AB69" s="4"/>
      <c r="AC69" s="4"/>
      <c r="AD69" s="4"/>
      <c r="AE69" s="5"/>
    </row>
    <row r="70" spans="1:31">
      <c r="A70" s="40">
        <v>167230102604894</v>
      </c>
      <c r="B70" s="2" t="s">
        <v>45</v>
      </c>
      <c r="C70" s="2">
        <v>0</v>
      </c>
      <c r="D70" s="2">
        <v>1</v>
      </c>
      <c r="E70" s="2" t="str">
        <f t="shared" si="1"/>
        <v>Non_Veg</v>
      </c>
      <c r="F70" s="2"/>
      <c r="G70" s="2"/>
      <c r="H70" s="2"/>
      <c r="I70" s="2"/>
      <c r="J70" s="2"/>
      <c r="K70" s="2"/>
      <c r="L70" s="2"/>
      <c r="M70" s="2"/>
      <c r="N70" s="2"/>
      <c r="O70" s="2"/>
      <c r="P70" s="2"/>
      <c r="Q70" s="2"/>
      <c r="R70" s="2"/>
      <c r="S70" s="2"/>
      <c r="T70" s="2"/>
      <c r="U70" s="2"/>
      <c r="V70" s="2"/>
      <c r="W70" s="2"/>
      <c r="X70" s="2"/>
      <c r="Y70" s="2"/>
      <c r="Z70" s="2"/>
      <c r="AA70" s="2"/>
      <c r="AB70" s="2"/>
      <c r="AC70" s="2"/>
      <c r="AD70" s="2"/>
      <c r="AE70" s="3"/>
    </row>
    <row r="71" spans="1:31">
      <c r="A71" s="41">
        <v>167230102604894</v>
      </c>
      <c r="B71" s="4" t="s">
        <v>46</v>
      </c>
      <c r="C71" s="4">
        <v>0</v>
      </c>
      <c r="D71" s="4">
        <v>1</v>
      </c>
      <c r="E71" s="2" t="str">
        <f t="shared" si="1"/>
        <v>Non_Veg</v>
      </c>
      <c r="F71" s="4"/>
      <c r="G71" s="4"/>
      <c r="H71" s="4"/>
      <c r="I71" s="4"/>
      <c r="J71" s="4"/>
      <c r="K71" s="4"/>
      <c r="L71" s="4"/>
      <c r="M71" s="4"/>
      <c r="N71" s="4"/>
      <c r="O71" s="4"/>
      <c r="P71" s="4"/>
      <c r="Q71" s="4"/>
      <c r="R71" s="4"/>
      <c r="S71" s="4"/>
      <c r="T71" s="4"/>
      <c r="U71" s="4"/>
      <c r="V71" s="4"/>
      <c r="W71" s="4"/>
      <c r="X71" s="4"/>
      <c r="Y71" s="4"/>
      <c r="Z71" s="4"/>
      <c r="AA71" s="4"/>
      <c r="AB71" s="4"/>
      <c r="AC71" s="4"/>
      <c r="AD71" s="4"/>
      <c r="AE71" s="5"/>
    </row>
    <row r="72" spans="1:31">
      <c r="A72" s="40">
        <v>167065261006312</v>
      </c>
      <c r="B72" s="2" t="s">
        <v>47</v>
      </c>
      <c r="C72" s="2">
        <v>0</v>
      </c>
      <c r="D72" s="2">
        <v>1</v>
      </c>
      <c r="E72" s="2" t="str">
        <f t="shared" si="1"/>
        <v>Non_Veg</v>
      </c>
      <c r="F72" s="2"/>
      <c r="G72" s="2"/>
      <c r="H72" s="2"/>
      <c r="I72" s="2"/>
      <c r="J72" s="2"/>
      <c r="K72" s="2"/>
      <c r="L72" s="2"/>
      <c r="M72" s="2"/>
      <c r="N72" s="2"/>
      <c r="O72" s="2"/>
      <c r="P72" s="2"/>
      <c r="Q72" s="2"/>
      <c r="R72" s="2"/>
      <c r="S72" s="2"/>
      <c r="T72" s="2"/>
      <c r="U72" s="2"/>
      <c r="V72" s="2"/>
      <c r="W72" s="2"/>
      <c r="X72" s="2"/>
      <c r="Y72" s="2"/>
      <c r="Z72" s="2"/>
      <c r="AA72" s="2"/>
      <c r="AB72" s="2"/>
      <c r="AC72" s="2"/>
      <c r="AD72" s="2"/>
      <c r="AE72" s="3"/>
    </row>
    <row r="73" spans="1:31">
      <c r="A73" s="41">
        <v>167041647226680</v>
      </c>
      <c r="B73" s="4" t="s">
        <v>39</v>
      </c>
      <c r="C73" s="4">
        <v>0</v>
      </c>
      <c r="D73" s="4">
        <v>1</v>
      </c>
      <c r="E73" s="2" t="str">
        <f t="shared" si="1"/>
        <v>Non_Veg</v>
      </c>
      <c r="F73" s="4"/>
      <c r="G73" s="4"/>
      <c r="H73" s="4"/>
      <c r="I73" s="4"/>
      <c r="J73" s="4"/>
      <c r="K73" s="4"/>
      <c r="L73" s="4"/>
      <c r="M73" s="4"/>
      <c r="N73" s="4"/>
      <c r="O73" s="4"/>
      <c r="P73" s="4"/>
      <c r="Q73" s="4"/>
      <c r="R73" s="4"/>
      <c r="S73" s="4"/>
      <c r="T73" s="4"/>
      <c r="U73" s="4"/>
      <c r="V73" s="4"/>
      <c r="W73" s="4"/>
      <c r="X73" s="4"/>
      <c r="Y73" s="4"/>
      <c r="Z73" s="4"/>
      <c r="AA73" s="4"/>
      <c r="AB73" s="4"/>
      <c r="AC73" s="4"/>
      <c r="AD73" s="4"/>
      <c r="AE73" s="5"/>
    </row>
    <row r="74" spans="1:31">
      <c r="A74" s="40">
        <v>166952305677312</v>
      </c>
      <c r="B74" s="2" t="s">
        <v>48</v>
      </c>
      <c r="C74" s="2">
        <v>1</v>
      </c>
      <c r="D74" s="2">
        <v>1</v>
      </c>
      <c r="E74" s="2" t="str">
        <f t="shared" si="1"/>
        <v>Veg</v>
      </c>
      <c r="F74" s="2"/>
      <c r="G74" s="2"/>
      <c r="H74" s="2"/>
      <c r="I74" s="2"/>
      <c r="J74" s="2"/>
      <c r="K74" s="2"/>
      <c r="L74" s="2"/>
      <c r="M74" s="2"/>
      <c r="N74" s="2"/>
      <c r="O74" s="2"/>
      <c r="P74" s="2"/>
      <c r="Q74" s="2"/>
      <c r="R74" s="2"/>
      <c r="S74" s="2"/>
      <c r="T74" s="2"/>
      <c r="U74" s="2"/>
      <c r="V74" s="2"/>
      <c r="W74" s="2"/>
      <c r="X74" s="2"/>
      <c r="Y74" s="2"/>
      <c r="Z74" s="2"/>
      <c r="AA74" s="2"/>
      <c r="AB74" s="2"/>
      <c r="AC74" s="2"/>
      <c r="AD74" s="2"/>
      <c r="AE74" s="3"/>
    </row>
    <row r="75" spans="1:31">
      <c r="A75" s="41">
        <v>166803724653459</v>
      </c>
      <c r="B75" s="4" t="s">
        <v>49</v>
      </c>
      <c r="C75" s="4">
        <v>0</v>
      </c>
      <c r="D75" s="4">
        <v>1</v>
      </c>
      <c r="E75" s="2" t="str">
        <f t="shared" si="1"/>
        <v>Non_Veg</v>
      </c>
      <c r="F75" s="4"/>
      <c r="G75" s="4"/>
      <c r="H75" s="4"/>
      <c r="I75" s="4"/>
      <c r="J75" s="4"/>
      <c r="K75" s="4"/>
      <c r="L75" s="4"/>
      <c r="M75" s="4"/>
      <c r="N75" s="4"/>
      <c r="O75" s="4"/>
      <c r="P75" s="4"/>
      <c r="Q75" s="4"/>
      <c r="R75" s="4"/>
      <c r="S75" s="4"/>
      <c r="T75" s="4"/>
      <c r="U75" s="4"/>
      <c r="V75" s="4"/>
      <c r="W75" s="4"/>
      <c r="X75" s="4"/>
      <c r="Y75" s="4"/>
      <c r="Z75" s="4"/>
      <c r="AA75" s="4"/>
      <c r="AB75" s="4"/>
      <c r="AC75" s="4"/>
      <c r="AD75" s="4"/>
      <c r="AE75" s="5"/>
    </row>
    <row r="76" spans="1:31">
      <c r="A76" s="40">
        <v>165960896748502</v>
      </c>
      <c r="B76" s="2" t="s">
        <v>50</v>
      </c>
      <c r="C76" s="2">
        <v>1</v>
      </c>
      <c r="D76" s="2">
        <v>1</v>
      </c>
      <c r="E76" s="2" t="str">
        <f t="shared" si="1"/>
        <v>Veg</v>
      </c>
      <c r="F76" s="2"/>
      <c r="G76" s="2"/>
      <c r="H76" s="2"/>
      <c r="I76" s="2"/>
      <c r="J76" s="2"/>
      <c r="K76" s="2"/>
      <c r="L76" s="2"/>
      <c r="M76" s="2"/>
      <c r="N76" s="2"/>
      <c r="O76" s="2"/>
      <c r="P76" s="2"/>
      <c r="Q76" s="2"/>
      <c r="R76" s="2"/>
      <c r="S76" s="2"/>
      <c r="T76" s="2"/>
      <c r="U76" s="2"/>
      <c r="V76" s="2"/>
      <c r="W76" s="2"/>
      <c r="X76" s="2"/>
      <c r="Y76" s="2"/>
      <c r="Z76" s="2"/>
      <c r="AA76" s="2"/>
      <c r="AB76" s="2"/>
      <c r="AC76" s="2"/>
      <c r="AD76" s="2"/>
      <c r="AE76" s="3"/>
    </row>
    <row r="77" spans="1:31">
      <c r="A77" s="41">
        <v>165960896748502</v>
      </c>
      <c r="B77" s="4" t="s">
        <v>51</v>
      </c>
      <c r="C77" s="4">
        <v>1</v>
      </c>
      <c r="D77" s="4">
        <v>1</v>
      </c>
      <c r="E77" s="2" t="str">
        <f t="shared" si="1"/>
        <v>Veg</v>
      </c>
      <c r="F77" s="4"/>
      <c r="G77" s="4"/>
      <c r="H77" s="4"/>
      <c r="I77" s="4"/>
      <c r="J77" s="4"/>
      <c r="K77" s="4"/>
      <c r="L77" s="4"/>
      <c r="M77" s="4"/>
      <c r="N77" s="4"/>
      <c r="O77" s="4"/>
      <c r="P77" s="4"/>
      <c r="Q77" s="4"/>
      <c r="R77" s="4"/>
      <c r="S77" s="4"/>
      <c r="T77" s="4"/>
      <c r="U77" s="4"/>
      <c r="V77" s="4"/>
      <c r="W77" s="4"/>
      <c r="X77" s="4"/>
      <c r="Y77" s="4"/>
      <c r="Z77" s="4"/>
      <c r="AA77" s="4"/>
      <c r="AB77" s="4"/>
      <c r="AC77" s="4"/>
      <c r="AD77" s="4"/>
      <c r="AE77" s="5"/>
    </row>
    <row r="78" spans="1:31">
      <c r="A78" s="40">
        <v>165923274381702</v>
      </c>
      <c r="B78" s="2" t="s">
        <v>52</v>
      </c>
      <c r="C78" s="2">
        <v>0</v>
      </c>
      <c r="D78" s="2">
        <v>1</v>
      </c>
      <c r="E78" s="2" t="str">
        <f t="shared" si="1"/>
        <v>Non_Veg</v>
      </c>
      <c r="F78" s="2"/>
      <c r="G78" s="2"/>
      <c r="H78" s="2"/>
      <c r="I78" s="2"/>
      <c r="J78" s="2"/>
      <c r="K78" s="2"/>
      <c r="L78" s="2"/>
      <c r="M78" s="2"/>
      <c r="N78" s="2"/>
      <c r="O78" s="2"/>
      <c r="P78" s="2"/>
      <c r="Q78" s="2"/>
      <c r="R78" s="2"/>
      <c r="S78" s="2"/>
      <c r="T78" s="2"/>
      <c r="U78" s="2"/>
      <c r="V78" s="2"/>
      <c r="W78" s="2"/>
      <c r="X78" s="2"/>
      <c r="Y78" s="2"/>
      <c r="Z78" s="2"/>
      <c r="AA78" s="2"/>
      <c r="AB78" s="2"/>
      <c r="AC78" s="2"/>
      <c r="AD78" s="2"/>
      <c r="AE78" s="3"/>
    </row>
    <row r="79" spans="1:31">
      <c r="A79" s="41">
        <v>165854296189400</v>
      </c>
      <c r="B79" s="4" t="s">
        <v>44</v>
      </c>
      <c r="C79" s="4">
        <v>0</v>
      </c>
      <c r="D79" s="4">
        <v>1</v>
      </c>
      <c r="E79" s="2" t="str">
        <f t="shared" si="1"/>
        <v>Non_Veg</v>
      </c>
      <c r="F79" s="4"/>
      <c r="G79" s="4"/>
      <c r="H79" s="4"/>
      <c r="I79" s="4"/>
      <c r="J79" s="4"/>
      <c r="K79" s="4"/>
      <c r="L79" s="4"/>
      <c r="M79" s="4"/>
      <c r="N79" s="4"/>
      <c r="O79" s="4"/>
      <c r="P79" s="4"/>
      <c r="Q79" s="4"/>
      <c r="R79" s="4"/>
      <c r="S79" s="4"/>
      <c r="T79" s="4"/>
      <c r="U79" s="4"/>
      <c r="V79" s="4"/>
      <c r="W79" s="4"/>
      <c r="X79" s="4"/>
      <c r="Y79" s="4"/>
      <c r="Z79" s="4"/>
      <c r="AA79" s="4"/>
      <c r="AB79" s="4"/>
      <c r="AC79" s="4"/>
      <c r="AD79" s="4"/>
      <c r="AE79" s="5"/>
    </row>
    <row r="80" spans="1:31">
      <c r="A80" s="40">
        <v>165409130967084</v>
      </c>
      <c r="B80" s="2" t="s">
        <v>44</v>
      </c>
      <c r="C80" s="2">
        <v>0</v>
      </c>
      <c r="D80" s="2">
        <v>1</v>
      </c>
      <c r="E80" s="2" t="str">
        <f t="shared" si="1"/>
        <v>Non_Veg</v>
      </c>
      <c r="F80" s="2"/>
      <c r="G80" s="2"/>
      <c r="H80" s="2"/>
      <c r="I80" s="2"/>
      <c r="J80" s="2"/>
      <c r="K80" s="2"/>
      <c r="L80" s="2"/>
      <c r="M80" s="2"/>
      <c r="N80" s="2"/>
      <c r="O80" s="2"/>
      <c r="P80" s="2"/>
      <c r="Q80" s="2"/>
      <c r="R80" s="2"/>
      <c r="S80" s="2"/>
      <c r="T80" s="2"/>
      <c r="U80" s="2"/>
      <c r="V80" s="2"/>
      <c r="W80" s="2"/>
      <c r="X80" s="2"/>
      <c r="Y80" s="2"/>
      <c r="Z80" s="2"/>
      <c r="AA80" s="2"/>
      <c r="AB80" s="2"/>
      <c r="AC80" s="2"/>
      <c r="AD80" s="2"/>
      <c r="AE80" s="3"/>
    </row>
    <row r="81" spans="1:31">
      <c r="A81" s="41">
        <v>165341581288776</v>
      </c>
      <c r="B81" s="4" t="s">
        <v>53</v>
      </c>
      <c r="C81" s="4">
        <v>1</v>
      </c>
      <c r="D81" s="4">
        <v>1</v>
      </c>
      <c r="E81" s="2" t="str">
        <f t="shared" si="1"/>
        <v>Veg</v>
      </c>
      <c r="F81" s="4"/>
      <c r="G81" s="4"/>
      <c r="H81" s="4"/>
      <c r="I81" s="4"/>
      <c r="J81" s="4"/>
      <c r="K81" s="4"/>
      <c r="L81" s="4"/>
      <c r="M81" s="4"/>
      <c r="N81" s="4"/>
      <c r="O81" s="4"/>
      <c r="P81" s="4"/>
      <c r="Q81" s="4"/>
      <c r="R81" s="4"/>
      <c r="S81" s="4"/>
      <c r="T81" s="4"/>
      <c r="U81" s="4"/>
      <c r="V81" s="4"/>
      <c r="W81" s="4"/>
      <c r="X81" s="4"/>
      <c r="Y81" s="4"/>
      <c r="Z81" s="4"/>
      <c r="AA81" s="4"/>
      <c r="AB81" s="4"/>
      <c r="AC81" s="4"/>
      <c r="AD81" s="4"/>
      <c r="AE81" s="5"/>
    </row>
    <row r="82" spans="1:31">
      <c r="A82" s="40">
        <v>164743294943602</v>
      </c>
      <c r="B82" s="2" t="s">
        <v>54</v>
      </c>
      <c r="C82" s="2">
        <v>1</v>
      </c>
      <c r="D82" s="2">
        <v>1</v>
      </c>
      <c r="E82" s="2" t="str">
        <f t="shared" si="1"/>
        <v>Veg</v>
      </c>
      <c r="F82" s="2"/>
      <c r="G82" s="2"/>
      <c r="H82" s="2"/>
      <c r="I82" s="2"/>
      <c r="J82" s="2"/>
      <c r="K82" s="2"/>
      <c r="L82" s="2"/>
      <c r="M82" s="2"/>
      <c r="N82" s="2"/>
      <c r="O82" s="2"/>
      <c r="P82" s="2"/>
      <c r="Q82" s="2"/>
      <c r="R82" s="2"/>
      <c r="S82" s="2"/>
      <c r="T82" s="2"/>
      <c r="U82" s="2"/>
      <c r="V82" s="2"/>
      <c r="W82" s="2"/>
      <c r="X82" s="2"/>
      <c r="Y82" s="2"/>
      <c r="Z82" s="2"/>
      <c r="AA82" s="2"/>
      <c r="AB82" s="2"/>
      <c r="AC82" s="2"/>
      <c r="AD82" s="2"/>
      <c r="AE82" s="3"/>
    </row>
    <row r="83" spans="1:31">
      <c r="A83" s="41">
        <v>164743294943602</v>
      </c>
      <c r="B83" s="4" t="s">
        <v>54</v>
      </c>
      <c r="C83" s="4">
        <v>1</v>
      </c>
      <c r="D83" s="4">
        <v>1</v>
      </c>
      <c r="E83" s="2" t="str">
        <f t="shared" si="1"/>
        <v>Veg</v>
      </c>
      <c r="F83" s="4"/>
      <c r="G83" s="4"/>
      <c r="H83" s="4"/>
      <c r="I83" s="4"/>
      <c r="J83" s="4"/>
      <c r="K83" s="4"/>
      <c r="L83" s="4"/>
      <c r="M83" s="4"/>
      <c r="N83" s="4"/>
      <c r="O83" s="4"/>
      <c r="P83" s="4"/>
      <c r="Q83" s="4"/>
      <c r="R83" s="4"/>
      <c r="S83" s="4"/>
      <c r="T83" s="4"/>
      <c r="U83" s="4"/>
      <c r="V83" s="4"/>
      <c r="W83" s="4"/>
      <c r="X83" s="4"/>
      <c r="Y83" s="4"/>
      <c r="Z83" s="4"/>
      <c r="AA83" s="4"/>
      <c r="AB83" s="4"/>
      <c r="AC83" s="4"/>
      <c r="AD83" s="4"/>
      <c r="AE83" s="5"/>
    </row>
    <row r="84" spans="1:31">
      <c r="A84" s="40">
        <v>164714296625099</v>
      </c>
      <c r="B84" s="2" t="s">
        <v>44</v>
      </c>
      <c r="C84" s="2">
        <v>0</v>
      </c>
      <c r="D84" s="2">
        <v>1</v>
      </c>
      <c r="E84" s="2" t="str">
        <f t="shared" si="1"/>
        <v>Non_Veg</v>
      </c>
      <c r="F84" s="2"/>
      <c r="G84" s="2"/>
      <c r="H84" s="2"/>
      <c r="I84" s="2"/>
      <c r="J84" s="2"/>
      <c r="K84" s="2"/>
      <c r="L84" s="2"/>
      <c r="M84" s="2"/>
      <c r="N84" s="2"/>
      <c r="O84" s="2"/>
      <c r="P84" s="2"/>
      <c r="Q84" s="2"/>
      <c r="R84" s="2"/>
      <c r="S84" s="2"/>
      <c r="T84" s="2"/>
      <c r="U84" s="2"/>
      <c r="V84" s="2"/>
      <c r="W84" s="2"/>
      <c r="X84" s="2"/>
      <c r="Y84" s="2"/>
      <c r="Z84" s="2"/>
      <c r="AA84" s="2"/>
      <c r="AB84" s="2"/>
      <c r="AC84" s="2"/>
      <c r="AD84" s="2"/>
      <c r="AE84" s="3"/>
    </row>
    <row r="85" spans="1:31">
      <c r="A85" s="41">
        <v>164376172877898</v>
      </c>
      <c r="B85" s="4" t="s">
        <v>55</v>
      </c>
      <c r="C85" s="4">
        <v>0</v>
      </c>
      <c r="D85" s="4">
        <v>1</v>
      </c>
      <c r="E85" s="2" t="str">
        <f t="shared" si="1"/>
        <v>Non_Veg</v>
      </c>
      <c r="F85" s="4"/>
      <c r="G85" s="4"/>
      <c r="H85" s="4"/>
      <c r="I85" s="4"/>
      <c r="J85" s="4"/>
      <c r="K85" s="4"/>
      <c r="L85" s="4"/>
      <c r="M85" s="4"/>
      <c r="N85" s="4"/>
      <c r="O85" s="4"/>
      <c r="P85" s="4"/>
      <c r="Q85" s="4"/>
      <c r="R85" s="4"/>
      <c r="S85" s="4"/>
      <c r="T85" s="4"/>
      <c r="U85" s="4"/>
      <c r="V85" s="4"/>
      <c r="W85" s="4"/>
      <c r="X85" s="4"/>
      <c r="Y85" s="4"/>
      <c r="Z85" s="4"/>
      <c r="AA85" s="4"/>
      <c r="AB85" s="4"/>
      <c r="AC85" s="4"/>
      <c r="AD85" s="4"/>
      <c r="AE85" s="5"/>
    </row>
    <row r="86" spans="1:31">
      <c r="A86" s="40">
        <v>164376172877898</v>
      </c>
      <c r="B86" s="2" t="s">
        <v>48</v>
      </c>
      <c r="C86" s="2">
        <v>1</v>
      </c>
      <c r="D86" s="2">
        <v>1</v>
      </c>
      <c r="E86" s="2" t="str">
        <f t="shared" si="1"/>
        <v>Veg</v>
      </c>
      <c r="F86" s="2"/>
      <c r="G86" s="2"/>
      <c r="H86" s="2"/>
      <c r="I86" s="2"/>
      <c r="J86" s="2"/>
      <c r="K86" s="2"/>
      <c r="L86" s="2"/>
      <c r="M86" s="2"/>
      <c r="N86" s="2"/>
      <c r="O86" s="2"/>
      <c r="P86" s="2"/>
      <c r="Q86" s="2"/>
      <c r="R86" s="2"/>
      <c r="S86" s="2"/>
      <c r="T86" s="2"/>
      <c r="U86" s="2"/>
      <c r="V86" s="2"/>
      <c r="W86" s="2"/>
      <c r="X86" s="2"/>
      <c r="Y86" s="2"/>
      <c r="Z86" s="2"/>
      <c r="AA86" s="2"/>
      <c r="AB86" s="2"/>
      <c r="AC86" s="2"/>
      <c r="AD86" s="2"/>
      <c r="AE86" s="3"/>
    </row>
    <row r="87" spans="1:31">
      <c r="A87" s="41">
        <v>164376172877898</v>
      </c>
      <c r="B87" s="4" t="s">
        <v>56</v>
      </c>
      <c r="C87" s="4">
        <v>0</v>
      </c>
      <c r="D87" s="4">
        <v>1</v>
      </c>
      <c r="E87" s="2" t="str">
        <f t="shared" si="1"/>
        <v>Non_Veg</v>
      </c>
      <c r="F87" s="4"/>
      <c r="G87" s="4"/>
      <c r="H87" s="4"/>
      <c r="I87" s="4"/>
      <c r="J87" s="4"/>
      <c r="K87" s="4"/>
      <c r="L87" s="4"/>
      <c r="M87" s="4"/>
      <c r="N87" s="4"/>
      <c r="O87" s="4"/>
      <c r="P87" s="4"/>
      <c r="Q87" s="4"/>
      <c r="R87" s="4"/>
      <c r="S87" s="4"/>
      <c r="T87" s="4"/>
      <c r="U87" s="4"/>
      <c r="V87" s="4"/>
      <c r="W87" s="4"/>
      <c r="X87" s="4"/>
      <c r="Y87" s="4"/>
      <c r="Z87" s="4"/>
      <c r="AA87" s="4"/>
      <c r="AB87" s="4"/>
      <c r="AC87" s="4"/>
      <c r="AD87" s="4"/>
      <c r="AE87" s="5"/>
    </row>
    <row r="88" spans="1:31">
      <c r="A88" s="40">
        <v>164376027513893</v>
      </c>
      <c r="B88" s="2" t="s">
        <v>56</v>
      </c>
      <c r="C88" s="2">
        <v>0</v>
      </c>
      <c r="D88" s="2">
        <v>1</v>
      </c>
      <c r="E88" s="2" t="str">
        <f t="shared" si="1"/>
        <v>Non_Veg</v>
      </c>
      <c r="F88" s="2"/>
      <c r="G88" s="2"/>
      <c r="H88" s="2"/>
      <c r="I88" s="2"/>
      <c r="J88" s="2"/>
      <c r="K88" s="2"/>
      <c r="L88" s="2"/>
      <c r="M88" s="2"/>
      <c r="N88" s="2"/>
      <c r="O88" s="2"/>
      <c r="P88" s="2"/>
      <c r="Q88" s="2"/>
      <c r="R88" s="2"/>
      <c r="S88" s="2"/>
      <c r="T88" s="2"/>
      <c r="U88" s="2"/>
      <c r="V88" s="2"/>
      <c r="W88" s="2"/>
      <c r="X88" s="2"/>
      <c r="Y88" s="2"/>
      <c r="Z88" s="2"/>
      <c r="AA88" s="2"/>
      <c r="AB88" s="2"/>
      <c r="AC88" s="2"/>
      <c r="AD88" s="2"/>
      <c r="AE88" s="3"/>
    </row>
    <row r="89" spans="1:31">
      <c r="A89" s="41">
        <v>164376027513893</v>
      </c>
      <c r="B89" s="4" t="s">
        <v>48</v>
      </c>
      <c r="C89" s="4">
        <v>1</v>
      </c>
      <c r="D89" s="4">
        <v>1</v>
      </c>
      <c r="E89" s="2" t="str">
        <f t="shared" si="1"/>
        <v>Veg</v>
      </c>
      <c r="F89" s="4"/>
      <c r="G89" s="4"/>
      <c r="H89" s="4"/>
      <c r="I89" s="4"/>
      <c r="J89" s="4"/>
      <c r="K89" s="4"/>
      <c r="L89" s="4"/>
      <c r="M89" s="4"/>
      <c r="N89" s="4"/>
      <c r="O89" s="4"/>
      <c r="P89" s="4"/>
      <c r="Q89" s="4"/>
      <c r="R89" s="4"/>
      <c r="S89" s="4"/>
      <c r="T89" s="4"/>
      <c r="U89" s="4"/>
      <c r="V89" s="4"/>
      <c r="W89" s="4"/>
      <c r="X89" s="4"/>
      <c r="Y89" s="4"/>
      <c r="Z89" s="4"/>
      <c r="AA89" s="4"/>
      <c r="AB89" s="4"/>
      <c r="AC89" s="4"/>
      <c r="AD89" s="4"/>
      <c r="AE89" s="5"/>
    </row>
    <row r="90" spans="1:31">
      <c r="A90" s="40">
        <v>164191765873335</v>
      </c>
      <c r="B90" s="2" t="s">
        <v>57</v>
      </c>
      <c r="C90" s="2">
        <v>0</v>
      </c>
      <c r="D90" s="2">
        <v>1</v>
      </c>
      <c r="E90" s="2" t="str">
        <f t="shared" si="1"/>
        <v>Non_Veg</v>
      </c>
      <c r="F90" s="2"/>
      <c r="G90" s="2"/>
      <c r="H90" s="2"/>
      <c r="I90" s="2"/>
      <c r="J90" s="2"/>
      <c r="K90" s="2"/>
      <c r="L90" s="2"/>
      <c r="M90" s="2"/>
      <c r="N90" s="2"/>
      <c r="O90" s="2"/>
      <c r="P90" s="2"/>
      <c r="Q90" s="2"/>
      <c r="R90" s="2"/>
      <c r="S90" s="2"/>
      <c r="T90" s="2"/>
      <c r="U90" s="2"/>
      <c r="V90" s="2"/>
      <c r="W90" s="2"/>
      <c r="X90" s="2"/>
      <c r="Y90" s="2"/>
      <c r="Z90" s="2"/>
      <c r="AA90" s="2"/>
      <c r="AB90" s="2"/>
      <c r="AC90" s="2"/>
      <c r="AD90" s="2"/>
      <c r="AE90" s="3"/>
    </row>
    <row r="91" spans="1:31">
      <c r="A91" s="41">
        <v>164191765873335</v>
      </c>
      <c r="B91" s="4" t="s">
        <v>58</v>
      </c>
      <c r="C91" s="4">
        <v>1</v>
      </c>
      <c r="D91" s="4">
        <v>1</v>
      </c>
      <c r="E91" s="2" t="str">
        <f t="shared" si="1"/>
        <v>Veg</v>
      </c>
      <c r="F91" s="4"/>
      <c r="G91" s="4"/>
      <c r="H91" s="4"/>
      <c r="I91" s="4"/>
      <c r="J91" s="4"/>
      <c r="K91" s="4"/>
      <c r="L91" s="4"/>
      <c r="M91" s="4"/>
      <c r="N91" s="4"/>
      <c r="O91" s="4"/>
      <c r="P91" s="4"/>
      <c r="Q91" s="4"/>
      <c r="R91" s="4"/>
      <c r="S91" s="4"/>
      <c r="T91" s="4"/>
      <c r="U91" s="4"/>
      <c r="V91" s="4"/>
      <c r="W91" s="4"/>
      <c r="X91" s="4"/>
      <c r="Y91" s="4"/>
      <c r="Z91" s="4"/>
      <c r="AA91" s="4"/>
      <c r="AB91" s="4"/>
      <c r="AC91" s="4"/>
      <c r="AD91" s="4"/>
      <c r="AE91" s="5"/>
    </row>
    <row r="92" spans="1:31">
      <c r="A92" s="40">
        <v>163711888473406</v>
      </c>
      <c r="B92" s="2" t="s">
        <v>59</v>
      </c>
      <c r="C92" s="2">
        <v>1</v>
      </c>
      <c r="D92" s="2">
        <v>1</v>
      </c>
      <c r="E92" s="2" t="str">
        <f t="shared" si="1"/>
        <v>Veg</v>
      </c>
      <c r="F92" s="2"/>
      <c r="G92" s="2"/>
      <c r="H92" s="2"/>
      <c r="I92" s="2"/>
      <c r="J92" s="2"/>
      <c r="K92" s="2"/>
      <c r="L92" s="2"/>
      <c r="M92" s="2"/>
      <c r="N92" s="2"/>
      <c r="O92" s="2"/>
      <c r="P92" s="2"/>
      <c r="Q92" s="2"/>
      <c r="R92" s="2"/>
      <c r="S92" s="2"/>
      <c r="T92" s="2"/>
      <c r="U92" s="2"/>
      <c r="V92" s="2"/>
      <c r="W92" s="2"/>
      <c r="X92" s="2"/>
      <c r="Y92" s="2"/>
      <c r="Z92" s="2"/>
      <c r="AA92" s="2"/>
      <c r="AB92" s="2"/>
      <c r="AC92" s="2"/>
      <c r="AD92" s="2"/>
      <c r="AE92" s="3"/>
    </row>
    <row r="93" spans="1:31">
      <c r="A93" s="41">
        <v>163004675209983</v>
      </c>
      <c r="B93" s="4" t="s">
        <v>45</v>
      </c>
      <c r="C93" s="4">
        <v>0</v>
      </c>
      <c r="D93" s="4">
        <v>1</v>
      </c>
      <c r="E93" s="2" t="str">
        <f t="shared" si="1"/>
        <v>Non_Veg</v>
      </c>
      <c r="F93" s="4"/>
      <c r="G93" s="4"/>
      <c r="H93" s="4"/>
      <c r="I93" s="4"/>
      <c r="J93" s="4"/>
      <c r="K93" s="4"/>
      <c r="L93" s="4"/>
      <c r="M93" s="4"/>
      <c r="N93" s="4"/>
      <c r="O93" s="4"/>
      <c r="P93" s="4"/>
      <c r="Q93" s="4"/>
      <c r="R93" s="4"/>
      <c r="S93" s="4"/>
      <c r="T93" s="4"/>
      <c r="U93" s="4"/>
      <c r="V93" s="4"/>
      <c r="W93" s="4"/>
      <c r="X93" s="4"/>
      <c r="Y93" s="4"/>
      <c r="Z93" s="4"/>
      <c r="AA93" s="4"/>
      <c r="AB93" s="4"/>
      <c r="AC93" s="4"/>
      <c r="AD93" s="4"/>
      <c r="AE93" s="5"/>
    </row>
    <row r="94" spans="1:31">
      <c r="A94" s="40">
        <v>163004675209983</v>
      </c>
      <c r="B94" s="2" t="s">
        <v>46</v>
      </c>
      <c r="C94" s="2">
        <v>0</v>
      </c>
      <c r="D94" s="2">
        <v>1</v>
      </c>
      <c r="E94" s="2" t="str">
        <f t="shared" si="1"/>
        <v>Non_Veg</v>
      </c>
      <c r="F94" s="2"/>
      <c r="G94" s="2"/>
      <c r="H94" s="2"/>
      <c r="I94" s="2"/>
      <c r="J94" s="2"/>
      <c r="K94" s="2"/>
      <c r="L94" s="2"/>
      <c r="M94" s="2"/>
      <c r="N94" s="2"/>
      <c r="O94" s="2"/>
      <c r="P94" s="2"/>
      <c r="Q94" s="2"/>
      <c r="R94" s="2"/>
      <c r="S94" s="2"/>
      <c r="T94" s="2"/>
      <c r="U94" s="2"/>
      <c r="V94" s="2"/>
      <c r="W94" s="2"/>
      <c r="X94" s="2"/>
      <c r="Y94" s="2"/>
      <c r="Z94" s="2"/>
      <c r="AA94" s="2"/>
      <c r="AB94" s="2"/>
      <c r="AC94" s="2"/>
      <c r="AD94" s="2"/>
      <c r="AE94" s="3"/>
    </row>
    <row r="95" spans="1:31">
      <c r="A95" s="41">
        <v>163004361179135</v>
      </c>
      <c r="B95" s="4" t="s">
        <v>14</v>
      </c>
      <c r="C95" s="4">
        <v>1</v>
      </c>
      <c r="D95" s="4">
        <v>1</v>
      </c>
      <c r="E95" s="2" t="str">
        <f t="shared" si="1"/>
        <v>Veg</v>
      </c>
      <c r="F95" s="4"/>
      <c r="G95" s="4"/>
      <c r="H95" s="4"/>
      <c r="I95" s="4"/>
      <c r="J95" s="4"/>
      <c r="K95" s="4"/>
      <c r="L95" s="4"/>
      <c r="M95" s="4"/>
      <c r="N95" s="4"/>
      <c r="O95" s="4"/>
      <c r="P95" s="4"/>
      <c r="Q95" s="4"/>
      <c r="R95" s="4"/>
      <c r="S95" s="4"/>
      <c r="T95" s="4"/>
      <c r="U95" s="4"/>
      <c r="V95" s="4"/>
      <c r="W95" s="4"/>
      <c r="X95" s="4"/>
      <c r="Y95" s="4"/>
      <c r="Z95" s="4"/>
      <c r="AA95" s="4"/>
      <c r="AB95" s="4"/>
      <c r="AC95" s="4"/>
      <c r="AD95" s="4"/>
      <c r="AE95" s="5"/>
    </row>
    <row r="96" spans="1:31">
      <c r="A96" s="40">
        <v>162553743923962</v>
      </c>
      <c r="B96" s="2" t="s">
        <v>60</v>
      </c>
      <c r="C96" s="2">
        <v>0</v>
      </c>
      <c r="D96" s="2">
        <v>1</v>
      </c>
      <c r="E96" s="2" t="str">
        <f t="shared" si="1"/>
        <v>Non_Veg</v>
      </c>
      <c r="F96" s="2"/>
      <c r="G96" s="2"/>
      <c r="H96" s="2"/>
      <c r="I96" s="2"/>
      <c r="J96" s="2"/>
      <c r="K96" s="2"/>
      <c r="L96" s="2"/>
      <c r="M96" s="2"/>
      <c r="N96" s="2"/>
      <c r="O96" s="2"/>
      <c r="P96" s="2"/>
      <c r="Q96" s="2"/>
      <c r="R96" s="2"/>
      <c r="S96" s="2"/>
      <c r="T96" s="2"/>
      <c r="U96" s="2"/>
      <c r="V96" s="2"/>
      <c r="W96" s="2"/>
      <c r="X96" s="2"/>
      <c r="Y96" s="2"/>
      <c r="Z96" s="2"/>
      <c r="AA96" s="2"/>
      <c r="AB96" s="2"/>
      <c r="AC96" s="2"/>
      <c r="AD96" s="2"/>
      <c r="AE96" s="3"/>
    </row>
    <row r="97" spans="1:31">
      <c r="A97" s="41">
        <v>162553743923962</v>
      </c>
      <c r="B97" s="4" t="s">
        <v>61</v>
      </c>
      <c r="C97" s="4">
        <v>0</v>
      </c>
      <c r="D97" s="4">
        <v>1</v>
      </c>
      <c r="E97" s="2" t="str">
        <f t="shared" si="1"/>
        <v>Non_Veg</v>
      </c>
      <c r="F97" s="4"/>
      <c r="G97" s="4"/>
      <c r="H97" s="4"/>
      <c r="I97" s="4"/>
      <c r="J97" s="4"/>
      <c r="K97" s="4"/>
      <c r="L97" s="4"/>
      <c r="M97" s="4"/>
      <c r="N97" s="4"/>
      <c r="O97" s="4"/>
      <c r="P97" s="4"/>
      <c r="Q97" s="4"/>
      <c r="R97" s="4"/>
      <c r="S97" s="4"/>
      <c r="T97" s="4"/>
      <c r="U97" s="4"/>
      <c r="V97" s="4"/>
      <c r="W97" s="4"/>
      <c r="X97" s="4"/>
      <c r="Y97" s="4"/>
      <c r="Z97" s="4"/>
      <c r="AA97" s="4"/>
      <c r="AB97" s="4"/>
      <c r="AC97" s="4"/>
      <c r="AD97" s="4"/>
      <c r="AE97" s="5"/>
    </row>
    <row r="98" spans="1:31">
      <c r="A98" s="40">
        <v>162461263812077</v>
      </c>
      <c r="B98" s="2" t="s">
        <v>61</v>
      </c>
      <c r="C98" s="2">
        <v>0</v>
      </c>
      <c r="D98" s="2">
        <v>1</v>
      </c>
      <c r="E98" s="2" t="str">
        <f t="shared" si="1"/>
        <v>Non_Veg</v>
      </c>
      <c r="F98" s="2"/>
      <c r="G98" s="2"/>
      <c r="H98" s="2"/>
      <c r="I98" s="2"/>
      <c r="J98" s="2"/>
      <c r="K98" s="2"/>
      <c r="L98" s="2"/>
      <c r="M98" s="2"/>
      <c r="N98" s="2"/>
      <c r="O98" s="2"/>
      <c r="P98" s="2"/>
      <c r="Q98" s="2"/>
      <c r="R98" s="2"/>
      <c r="S98" s="2"/>
      <c r="T98" s="2"/>
      <c r="U98" s="2"/>
      <c r="V98" s="2"/>
      <c r="W98" s="2"/>
      <c r="X98" s="2"/>
      <c r="Y98" s="2"/>
      <c r="Z98" s="2"/>
      <c r="AA98" s="2"/>
      <c r="AB98" s="2"/>
      <c r="AC98" s="2"/>
      <c r="AD98" s="2"/>
      <c r="AE98" s="3"/>
    </row>
    <row r="99" spans="1:31">
      <c r="A99" s="41">
        <v>161080636531967</v>
      </c>
      <c r="B99" s="4" t="s">
        <v>62</v>
      </c>
      <c r="C99" s="4">
        <v>0</v>
      </c>
      <c r="D99" s="4">
        <v>1</v>
      </c>
      <c r="E99" s="2" t="str">
        <f t="shared" si="1"/>
        <v>Non_Veg</v>
      </c>
      <c r="F99" s="4"/>
      <c r="G99" s="4"/>
      <c r="H99" s="4"/>
      <c r="I99" s="4"/>
      <c r="J99" s="4"/>
      <c r="K99" s="4"/>
      <c r="L99" s="4"/>
      <c r="M99" s="4"/>
      <c r="N99" s="4"/>
      <c r="O99" s="4"/>
      <c r="P99" s="4"/>
      <c r="Q99" s="4"/>
      <c r="R99" s="4"/>
      <c r="S99" s="4"/>
      <c r="T99" s="4"/>
      <c r="U99" s="4"/>
      <c r="V99" s="4"/>
      <c r="W99" s="4"/>
      <c r="X99" s="4"/>
      <c r="Y99" s="4"/>
      <c r="Z99" s="4"/>
      <c r="AA99" s="4"/>
      <c r="AB99" s="4"/>
      <c r="AC99" s="4"/>
      <c r="AD99" s="4"/>
      <c r="AE99" s="5"/>
    </row>
    <row r="100" spans="1:31">
      <c r="A100" s="40">
        <v>160474594456670</v>
      </c>
      <c r="B100" s="2" t="s">
        <v>63</v>
      </c>
      <c r="C100" s="2">
        <v>0</v>
      </c>
      <c r="D100" s="2">
        <v>1</v>
      </c>
      <c r="E100" s="2" t="str">
        <f t="shared" si="1"/>
        <v>Non_Veg</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3"/>
    </row>
    <row r="101" spans="1:31">
      <c r="A101" s="41">
        <v>159955886050893</v>
      </c>
      <c r="B101" s="4" t="s">
        <v>64</v>
      </c>
      <c r="C101" s="4">
        <v>0</v>
      </c>
      <c r="D101" s="4">
        <v>1</v>
      </c>
      <c r="E101" s="2" t="str">
        <f t="shared" si="1"/>
        <v>Non_Veg</v>
      </c>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5"/>
    </row>
    <row r="102" spans="1:31">
      <c r="A102" s="40">
        <v>159955886050893</v>
      </c>
      <c r="B102" s="2" t="s">
        <v>65</v>
      </c>
      <c r="C102" s="2">
        <v>1</v>
      </c>
      <c r="D102" s="2">
        <v>3</v>
      </c>
      <c r="E102" s="2" t="str">
        <f t="shared" si="1"/>
        <v>Veg</v>
      </c>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3"/>
    </row>
    <row r="103" spans="1:31">
      <c r="A103" s="41">
        <v>159700431113615</v>
      </c>
      <c r="B103" s="4" t="s">
        <v>66</v>
      </c>
      <c r="C103" s="4">
        <v>1</v>
      </c>
      <c r="D103" s="4">
        <v>1</v>
      </c>
      <c r="E103" s="2" t="str">
        <f t="shared" si="1"/>
        <v>Veg</v>
      </c>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5"/>
    </row>
    <row r="104" spans="1:31">
      <c r="A104" s="40">
        <v>159700431113615</v>
      </c>
      <c r="B104" s="2" t="s">
        <v>67</v>
      </c>
      <c r="C104" s="2">
        <v>1</v>
      </c>
      <c r="D104" s="2">
        <v>1</v>
      </c>
      <c r="E104" s="2" t="str">
        <f t="shared" si="1"/>
        <v>Veg</v>
      </c>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3"/>
    </row>
    <row r="105" spans="1:31">
      <c r="A105" s="41">
        <v>159024606634682</v>
      </c>
      <c r="B105" s="4" t="s">
        <v>65</v>
      </c>
      <c r="C105" s="4">
        <v>1</v>
      </c>
      <c r="D105" s="4">
        <v>2</v>
      </c>
      <c r="E105" s="2" t="str">
        <f t="shared" si="1"/>
        <v>Veg</v>
      </c>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5"/>
    </row>
    <row r="106" spans="1:31">
      <c r="A106" s="40">
        <v>159024606634682</v>
      </c>
      <c r="B106" s="2" t="s">
        <v>68</v>
      </c>
      <c r="C106" s="2">
        <v>1</v>
      </c>
      <c r="D106" s="2">
        <v>2</v>
      </c>
      <c r="E106" s="2" t="str">
        <f t="shared" si="1"/>
        <v>Veg</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3"/>
    </row>
    <row r="107" spans="1:31">
      <c r="A107" s="41">
        <v>159024606634682</v>
      </c>
      <c r="B107" s="4" t="s">
        <v>69</v>
      </c>
      <c r="C107" s="4">
        <v>1</v>
      </c>
      <c r="D107" s="4">
        <v>1</v>
      </c>
      <c r="E107" s="2" t="str">
        <f t="shared" si="1"/>
        <v>Veg</v>
      </c>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5"/>
    </row>
    <row r="108" spans="1:31">
      <c r="A108" s="40">
        <v>159024606634682</v>
      </c>
      <c r="B108" s="2" t="s">
        <v>69</v>
      </c>
      <c r="C108" s="2">
        <v>1</v>
      </c>
      <c r="D108" s="2">
        <v>1</v>
      </c>
      <c r="E108" s="2" t="str">
        <f t="shared" si="1"/>
        <v>Veg</v>
      </c>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3"/>
    </row>
    <row r="109" spans="1:31">
      <c r="A109" s="41">
        <v>159024606634682</v>
      </c>
      <c r="B109" s="4" t="s">
        <v>70</v>
      </c>
      <c r="C109" s="4">
        <v>0</v>
      </c>
      <c r="D109" s="4">
        <v>1</v>
      </c>
      <c r="E109" s="2" t="str">
        <f t="shared" si="1"/>
        <v>Non_Veg</v>
      </c>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5"/>
    </row>
    <row r="110" spans="1:31">
      <c r="A110" s="40">
        <v>158421216354293</v>
      </c>
      <c r="B110" s="2" t="s">
        <v>71</v>
      </c>
      <c r="C110" s="2">
        <v>0</v>
      </c>
      <c r="D110" s="2">
        <v>1</v>
      </c>
      <c r="E110" s="2" t="str">
        <f t="shared" si="1"/>
        <v>Non_Veg</v>
      </c>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3"/>
    </row>
    <row r="111" spans="1:31">
      <c r="A111" s="41">
        <v>158421216354293</v>
      </c>
      <c r="B111" s="4" t="s">
        <v>72</v>
      </c>
      <c r="C111" s="4">
        <v>0</v>
      </c>
      <c r="D111" s="4">
        <v>1</v>
      </c>
      <c r="E111" s="2" t="str">
        <f t="shared" si="1"/>
        <v>Non_Veg</v>
      </c>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5"/>
    </row>
    <row r="112" spans="1:31">
      <c r="A112" s="40">
        <v>158334414702466</v>
      </c>
      <c r="B112" s="2" t="s">
        <v>34</v>
      </c>
      <c r="C112" s="2">
        <v>0</v>
      </c>
      <c r="D112" s="2">
        <v>1</v>
      </c>
      <c r="E112" s="2" t="str">
        <f t="shared" si="1"/>
        <v>Non_Veg</v>
      </c>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3"/>
    </row>
    <row r="113" spans="1:31">
      <c r="A113" s="41">
        <v>158133339719955</v>
      </c>
      <c r="B113" s="4" t="s">
        <v>37</v>
      </c>
      <c r="C113" s="4">
        <v>0</v>
      </c>
      <c r="D113" s="4">
        <v>1</v>
      </c>
      <c r="E113" s="2" t="str">
        <f t="shared" si="1"/>
        <v>Non_Veg</v>
      </c>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5"/>
    </row>
    <row r="114" spans="1:31">
      <c r="A114" s="40">
        <v>158078123542130</v>
      </c>
      <c r="B114" s="2" t="s">
        <v>73</v>
      </c>
      <c r="C114" s="2">
        <v>0</v>
      </c>
      <c r="D114" s="2">
        <v>1</v>
      </c>
      <c r="E114" s="2" t="str">
        <f t="shared" si="1"/>
        <v>Non_Veg</v>
      </c>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3"/>
    </row>
    <row r="115" spans="1:31">
      <c r="A115" s="41">
        <v>158041541026826</v>
      </c>
      <c r="B115" s="4" t="s">
        <v>74</v>
      </c>
      <c r="C115" s="4">
        <v>0</v>
      </c>
      <c r="D115" s="4">
        <v>1</v>
      </c>
      <c r="E115" s="2" t="str">
        <f t="shared" si="1"/>
        <v>Non_Veg</v>
      </c>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5"/>
    </row>
    <row r="116" spans="1:31">
      <c r="A116" s="40">
        <v>157279336071863</v>
      </c>
      <c r="B116" s="2" t="s">
        <v>75</v>
      </c>
      <c r="C116" s="2">
        <v>0</v>
      </c>
      <c r="D116" s="2">
        <v>1</v>
      </c>
      <c r="E116" s="2" t="str">
        <f t="shared" si="1"/>
        <v>Non_Veg</v>
      </c>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3"/>
    </row>
    <row r="117" spans="1:31">
      <c r="A117" s="41">
        <v>157212479386394</v>
      </c>
      <c r="B117" s="4" t="s">
        <v>76</v>
      </c>
      <c r="C117" s="4">
        <v>0</v>
      </c>
      <c r="D117" s="4">
        <v>1</v>
      </c>
      <c r="E117" s="2" t="str">
        <f t="shared" si="1"/>
        <v>Non_Veg</v>
      </c>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5"/>
    </row>
    <row r="118" spans="1:31">
      <c r="A118" s="40">
        <v>157095860714592</v>
      </c>
      <c r="B118" s="2" t="s">
        <v>77</v>
      </c>
      <c r="C118" s="2">
        <v>1</v>
      </c>
      <c r="D118" s="2">
        <v>1</v>
      </c>
      <c r="E118" s="2" t="str">
        <f t="shared" si="1"/>
        <v>Veg</v>
      </c>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3"/>
    </row>
    <row r="119" spans="1:31">
      <c r="A119" s="41">
        <v>157095860714592</v>
      </c>
      <c r="B119" s="4" t="s">
        <v>57</v>
      </c>
      <c r="C119" s="4">
        <v>0</v>
      </c>
      <c r="D119" s="4">
        <v>1</v>
      </c>
      <c r="E119" s="2" t="str">
        <f t="shared" si="1"/>
        <v>Non_Veg</v>
      </c>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5"/>
    </row>
    <row r="120" spans="1:31">
      <c r="A120" s="40">
        <v>156956128612767</v>
      </c>
      <c r="B120" s="2" t="s">
        <v>78</v>
      </c>
      <c r="C120" s="2">
        <v>1</v>
      </c>
      <c r="D120" s="2">
        <v>1</v>
      </c>
      <c r="E120" s="2" t="str">
        <f t="shared" si="1"/>
        <v>Veg</v>
      </c>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3"/>
    </row>
    <row r="121" spans="1:31">
      <c r="A121" s="41">
        <v>156956128612767</v>
      </c>
      <c r="B121" s="4" t="s">
        <v>75</v>
      </c>
      <c r="C121" s="4">
        <v>0</v>
      </c>
      <c r="D121" s="4">
        <v>1</v>
      </c>
      <c r="E121" s="2" t="str">
        <f t="shared" si="1"/>
        <v>Non_Veg</v>
      </c>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5"/>
    </row>
    <row r="122" spans="1:31">
      <c r="A122" s="40">
        <v>156923241346336</v>
      </c>
      <c r="B122" s="2" t="s">
        <v>64</v>
      </c>
      <c r="C122" s="2">
        <v>0</v>
      </c>
      <c r="D122" s="2">
        <v>1</v>
      </c>
      <c r="E122" s="2" t="str">
        <f t="shared" si="1"/>
        <v>Non_Veg</v>
      </c>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3"/>
    </row>
    <row r="123" spans="1:31">
      <c r="A123" s="41">
        <v>156923241346336</v>
      </c>
      <c r="B123" s="4" t="s">
        <v>79</v>
      </c>
      <c r="C123" s="4">
        <v>1</v>
      </c>
      <c r="D123" s="4">
        <v>1</v>
      </c>
      <c r="E123" s="2" t="str">
        <f t="shared" si="1"/>
        <v>Veg</v>
      </c>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5"/>
    </row>
    <row r="124" spans="1:31">
      <c r="A124" s="40">
        <v>156923241346336</v>
      </c>
      <c r="B124" s="2" t="s">
        <v>68</v>
      </c>
      <c r="C124" s="2">
        <v>1</v>
      </c>
      <c r="D124" s="2">
        <v>2</v>
      </c>
      <c r="E124" s="2" t="str">
        <f t="shared" si="1"/>
        <v>Veg</v>
      </c>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3"/>
    </row>
    <row r="125" spans="1:31">
      <c r="A125" s="41">
        <v>156923241346336</v>
      </c>
      <c r="B125" s="4" t="s">
        <v>65</v>
      </c>
      <c r="C125" s="4">
        <v>1</v>
      </c>
      <c r="D125" s="4">
        <v>1</v>
      </c>
      <c r="E125" s="2" t="str">
        <f t="shared" si="1"/>
        <v>Veg</v>
      </c>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5"/>
    </row>
    <row r="126" spans="1:31">
      <c r="A126" s="40">
        <v>156864275866899</v>
      </c>
      <c r="B126" s="2" t="s">
        <v>80</v>
      </c>
      <c r="C126" s="2">
        <v>0</v>
      </c>
      <c r="D126" s="2">
        <v>1</v>
      </c>
      <c r="E126" s="2" t="str">
        <f t="shared" si="1"/>
        <v>Non_Veg</v>
      </c>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3"/>
    </row>
    <row r="127" spans="1:31">
      <c r="A127" s="41">
        <v>156864275866899</v>
      </c>
      <c r="B127" s="4" t="s">
        <v>65</v>
      </c>
      <c r="C127" s="4">
        <v>1</v>
      </c>
      <c r="D127" s="4">
        <v>3</v>
      </c>
      <c r="E127" s="2" t="str">
        <f t="shared" si="1"/>
        <v>Veg</v>
      </c>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5"/>
    </row>
    <row r="128" spans="1:31">
      <c r="A128" s="40">
        <v>156652104418064</v>
      </c>
      <c r="B128" s="2" t="s">
        <v>81</v>
      </c>
      <c r="C128" s="2">
        <v>1</v>
      </c>
      <c r="D128" s="2">
        <v>1</v>
      </c>
      <c r="E128" s="2" t="str">
        <f t="shared" si="1"/>
        <v>Veg</v>
      </c>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3"/>
    </row>
    <row r="129" spans="1:31">
      <c r="A129" s="41">
        <v>156652104418064</v>
      </c>
      <c r="B129" s="4" t="s">
        <v>82</v>
      </c>
      <c r="C129" s="4">
        <v>1</v>
      </c>
      <c r="D129" s="4">
        <v>1</v>
      </c>
      <c r="E129" s="2" t="str">
        <f t="shared" si="1"/>
        <v>Veg</v>
      </c>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5"/>
    </row>
    <row r="130" spans="1:31">
      <c r="A130" s="40">
        <v>156652104418064</v>
      </c>
      <c r="B130" s="2" t="s">
        <v>83</v>
      </c>
      <c r="C130" s="2">
        <v>1</v>
      </c>
      <c r="D130" s="2">
        <v>1</v>
      </c>
      <c r="E130" s="2" t="str">
        <f t="shared" si="1"/>
        <v>Veg</v>
      </c>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3"/>
    </row>
    <row r="131" spans="1:31">
      <c r="A131" s="41">
        <v>155826395288522</v>
      </c>
      <c r="B131" s="4" t="s">
        <v>84</v>
      </c>
      <c r="C131" s="4">
        <v>0</v>
      </c>
      <c r="D131" s="4">
        <v>1</v>
      </c>
      <c r="E131" s="2" t="str">
        <f t="shared" ref="E131:E171" si="2">IF(C131=0,"Non_Veg","Veg")</f>
        <v>Non_Veg</v>
      </c>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5"/>
    </row>
    <row r="132" spans="1:31">
      <c r="A132" s="40">
        <v>154933952448406</v>
      </c>
      <c r="B132" s="2" t="s">
        <v>58</v>
      </c>
      <c r="C132" s="2">
        <v>1</v>
      </c>
      <c r="D132" s="2">
        <v>1</v>
      </c>
      <c r="E132" s="2" t="str">
        <f t="shared" si="2"/>
        <v>Veg</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3"/>
    </row>
    <row r="133" spans="1:31">
      <c r="A133" s="41">
        <v>154933952448406</v>
      </c>
      <c r="B133" s="4" t="s">
        <v>77</v>
      </c>
      <c r="C133" s="4">
        <v>1</v>
      </c>
      <c r="D133" s="4">
        <v>1</v>
      </c>
      <c r="E133" s="2" t="str">
        <f t="shared" si="2"/>
        <v>Veg</v>
      </c>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5"/>
    </row>
    <row r="134" spans="1:31">
      <c r="A134" s="40">
        <v>154933952448406</v>
      </c>
      <c r="B134" s="2" t="s">
        <v>85</v>
      </c>
      <c r="C134" s="2">
        <v>0</v>
      </c>
      <c r="D134" s="2">
        <v>1</v>
      </c>
      <c r="E134" s="2" t="str">
        <f t="shared" si="2"/>
        <v>Non_Veg</v>
      </c>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3"/>
    </row>
    <row r="135" spans="1:31">
      <c r="A135" s="41">
        <v>178713153585</v>
      </c>
      <c r="B135" s="4" t="s">
        <v>69</v>
      </c>
      <c r="C135" s="4">
        <v>1</v>
      </c>
      <c r="D135" s="4">
        <v>1</v>
      </c>
      <c r="E135" s="2" t="str">
        <f t="shared" si="2"/>
        <v>Veg</v>
      </c>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5"/>
    </row>
    <row r="136" spans="1:31">
      <c r="A136" s="40">
        <v>178713153585</v>
      </c>
      <c r="B136" s="2" t="s">
        <v>86</v>
      </c>
      <c r="C136" s="2">
        <v>0</v>
      </c>
      <c r="D136" s="2">
        <v>1</v>
      </c>
      <c r="E136" s="2" t="str">
        <f t="shared" si="2"/>
        <v>Non_Veg</v>
      </c>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3"/>
    </row>
    <row r="137" spans="1:31">
      <c r="A137" s="41">
        <v>178539970232</v>
      </c>
      <c r="B137" s="4" t="s">
        <v>87</v>
      </c>
      <c r="C137" s="4">
        <v>1</v>
      </c>
      <c r="D137" s="4">
        <v>1</v>
      </c>
      <c r="E137" s="2" t="str">
        <f t="shared" si="2"/>
        <v>Veg</v>
      </c>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5"/>
    </row>
    <row r="138" spans="1:31">
      <c r="A138" s="40">
        <v>178180906036</v>
      </c>
      <c r="B138" s="2" t="s">
        <v>84</v>
      </c>
      <c r="C138" s="2">
        <v>0</v>
      </c>
      <c r="D138" s="2">
        <v>1</v>
      </c>
      <c r="E138" s="2" t="str">
        <f t="shared" si="2"/>
        <v>Non_Veg</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3"/>
    </row>
    <row r="139" spans="1:31">
      <c r="A139" s="41">
        <v>178180906036</v>
      </c>
      <c r="B139" s="4" t="s">
        <v>88</v>
      </c>
      <c r="C139" s="4">
        <v>0</v>
      </c>
      <c r="D139" s="4">
        <v>1</v>
      </c>
      <c r="E139" s="2" t="str">
        <f t="shared" si="2"/>
        <v>Non_Veg</v>
      </c>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5"/>
    </row>
    <row r="140" spans="1:31">
      <c r="A140" s="40">
        <v>178090781440</v>
      </c>
      <c r="B140" s="2" t="s">
        <v>74</v>
      </c>
      <c r="C140" s="2">
        <v>0</v>
      </c>
      <c r="D140" s="2">
        <v>1</v>
      </c>
      <c r="E140" s="2" t="str">
        <f t="shared" si="2"/>
        <v>Non_Veg</v>
      </c>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3"/>
    </row>
    <row r="141" spans="1:31">
      <c r="A141" s="41">
        <v>177591184372</v>
      </c>
      <c r="B141" s="4" t="s">
        <v>63</v>
      </c>
      <c r="C141" s="4">
        <v>0</v>
      </c>
      <c r="D141" s="4">
        <v>1</v>
      </c>
      <c r="E141" s="2" t="str">
        <f t="shared" si="2"/>
        <v>Non_Veg</v>
      </c>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5"/>
    </row>
    <row r="142" spans="1:31">
      <c r="A142" s="40">
        <v>177445532607</v>
      </c>
      <c r="B142" s="2" t="s">
        <v>89</v>
      </c>
      <c r="C142" s="2">
        <v>0</v>
      </c>
      <c r="D142" s="2">
        <v>1</v>
      </c>
      <c r="E142" s="2" t="str">
        <f t="shared" si="2"/>
        <v>Non_Veg</v>
      </c>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3"/>
    </row>
    <row r="143" spans="1:31">
      <c r="A143" s="41">
        <v>177445532607</v>
      </c>
      <c r="B143" s="4" t="s">
        <v>90</v>
      </c>
      <c r="C143" s="4">
        <v>1</v>
      </c>
      <c r="D143" s="4">
        <v>1</v>
      </c>
      <c r="E143" s="2" t="str">
        <f t="shared" si="2"/>
        <v>Veg</v>
      </c>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5"/>
    </row>
    <row r="144" spans="1:31">
      <c r="A144" s="40">
        <v>177445532607</v>
      </c>
      <c r="B144" s="2" t="s">
        <v>91</v>
      </c>
      <c r="C144" s="2">
        <v>0</v>
      </c>
      <c r="D144" s="2">
        <v>1</v>
      </c>
      <c r="E144" s="2" t="str">
        <f t="shared" si="2"/>
        <v>Non_Veg</v>
      </c>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3"/>
    </row>
    <row r="145" spans="1:31">
      <c r="A145" s="41">
        <v>177445532607</v>
      </c>
      <c r="B145" s="4" t="s">
        <v>92</v>
      </c>
      <c r="C145" s="4">
        <v>0</v>
      </c>
      <c r="D145" s="4">
        <v>1</v>
      </c>
      <c r="E145" s="2" t="str">
        <f t="shared" si="2"/>
        <v>Non_Veg</v>
      </c>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5"/>
    </row>
    <row r="146" spans="1:31">
      <c r="A146" s="40">
        <v>177265186487</v>
      </c>
      <c r="B146" s="2" t="s">
        <v>93</v>
      </c>
      <c r="C146" s="2">
        <v>0</v>
      </c>
      <c r="D146" s="2">
        <v>1</v>
      </c>
      <c r="E146" s="2" t="str">
        <f t="shared" si="2"/>
        <v>Non_Veg</v>
      </c>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3"/>
    </row>
    <row r="147" spans="1:31">
      <c r="A147" s="41">
        <v>177265186487</v>
      </c>
      <c r="B147" s="4" t="s">
        <v>94</v>
      </c>
      <c r="C147" s="4">
        <v>0</v>
      </c>
      <c r="D147" s="4">
        <v>1</v>
      </c>
      <c r="E147" s="2" t="str">
        <f t="shared" si="2"/>
        <v>Non_Veg</v>
      </c>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5"/>
    </row>
    <row r="148" spans="1:31">
      <c r="A148" s="40">
        <v>177265186487</v>
      </c>
      <c r="B148" s="2" t="s">
        <v>95</v>
      </c>
      <c r="C148" s="2">
        <v>0</v>
      </c>
      <c r="D148" s="2">
        <v>1</v>
      </c>
      <c r="E148" s="2" t="str">
        <f t="shared" si="2"/>
        <v>Non_Veg</v>
      </c>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3"/>
    </row>
    <row r="149" spans="1:31">
      <c r="A149" s="41">
        <v>177265186487</v>
      </c>
      <c r="B149" s="4" t="s">
        <v>89</v>
      </c>
      <c r="C149" s="4">
        <v>0</v>
      </c>
      <c r="D149" s="4">
        <v>1</v>
      </c>
      <c r="E149" s="2" t="str">
        <f t="shared" si="2"/>
        <v>Non_Veg</v>
      </c>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5"/>
    </row>
    <row r="150" spans="1:31">
      <c r="A150" s="40">
        <v>176793394432</v>
      </c>
      <c r="B150" s="2" t="s">
        <v>96</v>
      </c>
      <c r="C150" s="2">
        <v>1</v>
      </c>
      <c r="D150" s="2">
        <v>1</v>
      </c>
      <c r="E150" s="2" t="str">
        <f t="shared" si="2"/>
        <v>Veg</v>
      </c>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3"/>
    </row>
    <row r="151" spans="1:31">
      <c r="A151" s="41">
        <v>176793394432</v>
      </c>
      <c r="B151" s="4" t="s">
        <v>97</v>
      </c>
      <c r="C151" s="4">
        <v>1</v>
      </c>
      <c r="D151" s="4">
        <v>1</v>
      </c>
      <c r="E151" s="2" t="str">
        <f t="shared" si="2"/>
        <v>Veg</v>
      </c>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5"/>
    </row>
    <row r="152" spans="1:31">
      <c r="A152" s="40">
        <v>176745115332</v>
      </c>
      <c r="B152" s="2" t="s">
        <v>14</v>
      </c>
      <c r="C152" s="2">
        <v>1</v>
      </c>
      <c r="D152" s="2">
        <v>1</v>
      </c>
      <c r="E152" s="2" t="str">
        <f t="shared" si="2"/>
        <v>Veg</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3"/>
    </row>
    <row r="153" spans="1:31">
      <c r="A153" s="41">
        <v>176716772573</v>
      </c>
      <c r="B153" s="4" t="s">
        <v>98</v>
      </c>
      <c r="C153" s="4">
        <v>0</v>
      </c>
      <c r="D153" s="4">
        <v>1</v>
      </c>
      <c r="E153" s="2" t="str">
        <f t="shared" si="2"/>
        <v>Non_Veg</v>
      </c>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5"/>
    </row>
    <row r="154" spans="1:31">
      <c r="A154" s="40">
        <v>176451044220</v>
      </c>
      <c r="B154" s="2" t="s">
        <v>99</v>
      </c>
      <c r="C154" s="2">
        <v>0</v>
      </c>
      <c r="D154" s="2">
        <v>1</v>
      </c>
      <c r="E154" s="2" t="str">
        <f t="shared" si="2"/>
        <v>Non_Veg</v>
      </c>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3"/>
    </row>
    <row r="155" spans="1:31">
      <c r="A155" s="41">
        <v>176221057630</v>
      </c>
      <c r="B155" s="4" t="s">
        <v>100</v>
      </c>
      <c r="C155" s="4">
        <v>0</v>
      </c>
      <c r="D155" s="4">
        <v>1</v>
      </c>
      <c r="E155" s="2" t="str">
        <f t="shared" si="2"/>
        <v>Non_Veg</v>
      </c>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5"/>
    </row>
    <row r="156" spans="1:31">
      <c r="A156" s="40">
        <v>175968970700</v>
      </c>
      <c r="B156" s="2" t="s">
        <v>101</v>
      </c>
      <c r="C156" s="2">
        <v>1</v>
      </c>
      <c r="D156" s="2">
        <v>2</v>
      </c>
      <c r="E156" s="2" t="str">
        <f t="shared" si="2"/>
        <v>Veg</v>
      </c>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3"/>
    </row>
    <row r="157" spans="1:31">
      <c r="A157" s="41">
        <v>175192473312</v>
      </c>
      <c r="B157" s="4" t="s">
        <v>102</v>
      </c>
      <c r="C157" s="4">
        <v>0</v>
      </c>
      <c r="D157" s="4">
        <v>1</v>
      </c>
      <c r="E157" s="2" t="str">
        <f t="shared" si="2"/>
        <v>Non_Veg</v>
      </c>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5"/>
    </row>
    <row r="158" spans="1:31">
      <c r="A158" s="40">
        <v>175192473312</v>
      </c>
      <c r="B158" s="2" t="s">
        <v>103</v>
      </c>
      <c r="C158" s="2">
        <v>0</v>
      </c>
      <c r="D158" s="2">
        <v>1</v>
      </c>
      <c r="E158" s="2" t="str">
        <f t="shared" si="2"/>
        <v>Non_Veg</v>
      </c>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3"/>
    </row>
    <row r="159" spans="1:31">
      <c r="A159" s="41">
        <v>174983850554</v>
      </c>
      <c r="B159" s="4" t="s">
        <v>104</v>
      </c>
      <c r="C159" s="4">
        <v>0</v>
      </c>
      <c r="D159" s="4">
        <v>1</v>
      </c>
      <c r="E159" s="2" t="str">
        <f t="shared" si="2"/>
        <v>Non_Veg</v>
      </c>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5"/>
    </row>
    <row r="160" spans="1:31">
      <c r="A160" s="40">
        <v>174983850554</v>
      </c>
      <c r="B160" s="2" t="s">
        <v>105</v>
      </c>
      <c r="C160" s="2">
        <v>0</v>
      </c>
      <c r="D160" s="2">
        <v>1</v>
      </c>
      <c r="E160" s="2" t="str">
        <f t="shared" si="2"/>
        <v>Non_Veg</v>
      </c>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3"/>
    </row>
    <row r="161" spans="1:31">
      <c r="A161" s="41">
        <v>174983850554</v>
      </c>
      <c r="B161" s="4" t="s">
        <v>106</v>
      </c>
      <c r="C161" s="4">
        <v>0</v>
      </c>
      <c r="D161" s="4">
        <v>1</v>
      </c>
      <c r="E161" s="2" t="str">
        <f t="shared" si="2"/>
        <v>Non_Veg</v>
      </c>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5"/>
    </row>
    <row r="162" spans="1:31">
      <c r="A162" s="40">
        <v>174647551706</v>
      </c>
      <c r="B162" s="2" t="s">
        <v>107</v>
      </c>
      <c r="C162" s="2">
        <v>1</v>
      </c>
      <c r="D162" s="2">
        <v>1</v>
      </c>
      <c r="E162" s="2" t="str">
        <f t="shared" si="2"/>
        <v>Veg</v>
      </c>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3"/>
    </row>
    <row r="163" spans="1:31">
      <c r="A163" s="41">
        <v>174647551706</v>
      </c>
      <c r="B163" s="4" t="s">
        <v>108</v>
      </c>
      <c r="C163" s="4">
        <v>1</v>
      </c>
      <c r="D163" s="4">
        <v>1</v>
      </c>
      <c r="E163" s="2" t="str">
        <f t="shared" si="2"/>
        <v>Veg</v>
      </c>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5"/>
    </row>
    <row r="164" spans="1:31">
      <c r="A164" s="40">
        <v>174644435956</v>
      </c>
      <c r="B164" s="2" t="s">
        <v>98</v>
      </c>
      <c r="C164" s="2">
        <v>0</v>
      </c>
      <c r="D164" s="2">
        <v>1</v>
      </c>
      <c r="E164" s="2" t="str">
        <f t="shared" si="2"/>
        <v>Non_Veg</v>
      </c>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3"/>
    </row>
    <row r="165" spans="1:31">
      <c r="A165" s="41">
        <v>174559415025</v>
      </c>
      <c r="B165" s="4" t="s">
        <v>109</v>
      </c>
      <c r="C165" s="4">
        <v>0</v>
      </c>
      <c r="D165" s="4">
        <v>1</v>
      </c>
      <c r="E165" s="2" t="str">
        <f t="shared" si="2"/>
        <v>Non_Veg</v>
      </c>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5"/>
    </row>
    <row r="166" spans="1:31">
      <c r="A166" s="40">
        <v>174376605060</v>
      </c>
      <c r="B166" s="2" t="s">
        <v>110</v>
      </c>
      <c r="C166" s="2">
        <v>0</v>
      </c>
      <c r="D166" s="2">
        <v>1</v>
      </c>
      <c r="E166" s="2" t="str">
        <f t="shared" si="2"/>
        <v>Non_Veg</v>
      </c>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3"/>
    </row>
    <row r="167" spans="1:31">
      <c r="A167" s="41">
        <v>174376605060</v>
      </c>
      <c r="B167" s="4" t="s">
        <v>111</v>
      </c>
      <c r="C167" s="4">
        <v>0</v>
      </c>
      <c r="D167" s="4">
        <v>1</v>
      </c>
      <c r="E167" s="2" t="str">
        <f t="shared" si="2"/>
        <v>Non_Veg</v>
      </c>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5"/>
    </row>
    <row r="168" spans="1:31">
      <c r="A168" s="40">
        <v>172557699296</v>
      </c>
      <c r="B168" s="2" t="s">
        <v>112</v>
      </c>
      <c r="C168" s="2">
        <v>1</v>
      </c>
      <c r="D168" s="2">
        <v>1</v>
      </c>
      <c r="E168" s="2" t="str">
        <f t="shared" si="2"/>
        <v>Veg</v>
      </c>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3"/>
    </row>
    <row r="169" spans="1:31">
      <c r="A169" s="41">
        <v>171953923401</v>
      </c>
      <c r="B169" s="4" t="s">
        <v>113</v>
      </c>
      <c r="C169" s="4">
        <v>0</v>
      </c>
      <c r="D169" s="4">
        <v>1</v>
      </c>
      <c r="E169" s="2" t="str">
        <f t="shared" si="2"/>
        <v>Non_Veg</v>
      </c>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5"/>
    </row>
    <row r="170" spans="1:31">
      <c r="A170" s="40">
        <v>171953923401</v>
      </c>
      <c r="B170" s="2" t="s">
        <v>114</v>
      </c>
      <c r="C170" s="2">
        <v>0</v>
      </c>
      <c r="D170" s="2">
        <v>1</v>
      </c>
      <c r="E170" s="2" t="str">
        <f t="shared" si="2"/>
        <v>Non_Veg</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3"/>
    </row>
    <row r="171" spans="1:31">
      <c r="A171" s="42">
        <v>171863054117</v>
      </c>
      <c r="B171" s="9" t="s">
        <v>112</v>
      </c>
      <c r="C171" s="9">
        <v>1</v>
      </c>
      <c r="D171" s="9">
        <v>1</v>
      </c>
      <c r="E171" s="2" t="str">
        <f t="shared" si="2"/>
        <v>Veg</v>
      </c>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10"/>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96A0C-4864-44F2-A15D-6C61A5A6EC31}">
  <sheetPr>
    <tabColor theme="2" tint="-9.9978637043366805E-2"/>
  </sheetPr>
  <dimension ref="B3:G7"/>
  <sheetViews>
    <sheetView workbookViewId="0">
      <selection activeCell="B5" sqref="B5:F5"/>
    </sheetView>
  </sheetViews>
  <sheetFormatPr defaultRowHeight="14.45"/>
  <sheetData>
    <row r="3" spans="2:7">
      <c r="B3" s="64" t="s">
        <v>115</v>
      </c>
      <c r="C3" s="64"/>
      <c r="D3" s="64"/>
      <c r="E3" s="64"/>
      <c r="F3" s="64"/>
    </row>
    <row r="5" spans="2:7">
      <c r="B5" t="s">
        <v>116</v>
      </c>
    </row>
    <row r="7" spans="2:7">
      <c r="B7" s="64" t="s">
        <v>117</v>
      </c>
      <c r="C7" s="64"/>
      <c r="D7" s="64"/>
      <c r="E7" s="64"/>
      <c r="F7" s="64"/>
      <c r="G7" s="64"/>
    </row>
  </sheetData>
  <mergeCells count="2">
    <mergeCell ref="B3:F3"/>
    <mergeCell ref="B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3A64-04A6-41DA-AD22-75CB71F5B674}">
  <sheetPr>
    <tabColor theme="2" tint="-9.9978637043366805E-2"/>
  </sheetPr>
  <dimension ref="A1:AK1048576"/>
  <sheetViews>
    <sheetView topLeftCell="O1" zoomScale="91" workbookViewId="0">
      <selection activeCell="Z3" sqref="Z3"/>
    </sheetView>
  </sheetViews>
  <sheetFormatPr defaultRowHeight="14.45"/>
  <cols>
    <col min="1" max="1" width="17.7109375" style="1" bestFit="1" customWidth="1"/>
    <col min="2" max="2" width="43.28515625" style="1" customWidth="1"/>
    <col min="3" max="3" width="20.140625" style="1" customWidth="1"/>
    <col min="4" max="4" width="22.28515625" customWidth="1"/>
    <col min="5" max="5" width="17" bestFit="1" customWidth="1"/>
    <col min="6" max="6" width="21.5703125" style="38" bestFit="1" customWidth="1"/>
    <col min="7" max="7" width="101.7109375" customWidth="1"/>
    <col min="8" max="8" width="20.5703125" customWidth="1"/>
    <col min="9" max="9" width="20.28515625" customWidth="1"/>
    <col min="10" max="11" width="14.85546875" customWidth="1"/>
    <col min="12" max="12" width="28.5703125" bestFit="1" customWidth="1"/>
    <col min="13" max="13" width="18.42578125" customWidth="1"/>
    <col min="14" max="14" width="49.7109375" customWidth="1"/>
    <col min="15" max="15" width="33.7109375" customWidth="1"/>
    <col min="16" max="16" width="29" bestFit="1" customWidth="1"/>
    <col min="17" max="17" width="21.85546875" customWidth="1"/>
    <col min="18" max="18" width="25.42578125" style="21" customWidth="1"/>
    <col min="19" max="19" width="25.42578125" style="57" customWidth="1"/>
    <col min="20" max="20" width="14.85546875" customWidth="1"/>
    <col min="21" max="21" width="23.28515625" bestFit="1" customWidth="1"/>
    <col min="22" max="23" width="14.85546875" customWidth="1"/>
    <col min="24" max="24" width="30.28515625" customWidth="1"/>
    <col min="25" max="26" width="26.42578125" customWidth="1"/>
    <col min="27" max="27" width="29.28515625" customWidth="1"/>
    <col min="28" max="28" width="14.85546875" customWidth="1"/>
    <col min="29" max="29" width="23.7109375" customWidth="1"/>
    <col min="30" max="30" width="22.28515625" customWidth="1"/>
    <col min="31" max="32" width="14.85546875" customWidth="1"/>
    <col min="33" max="33" width="17.85546875" style="13" customWidth="1"/>
    <col min="34" max="34" width="14.140625" style="14" customWidth="1"/>
    <col min="35" max="35" width="22.140625" style="15" customWidth="1"/>
    <col min="36" max="36" width="19.42578125" style="16" bestFit="1" customWidth="1"/>
    <col min="37" max="37" width="14.28515625" style="17" customWidth="1"/>
  </cols>
  <sheetData>
    <row r="1" spans="1:37" s="8" customFormat="1" ht="26.45" customHeight="1">
      <c r="A1" s="34" t="s">
        <v>0</v>
      </c>
      <c r="B1" s="34" t="s">
        <v>118</v>
      </c>
      <c r="C1" s="34" t="s">
        <v>119</v>
      </c>
      <c r="D1" s="35" t="s">
        <v>120</v>
      </c>
      <c r="E1" s="35" t="s">
        <v>121</v>
      </c>
      <c r="F1" s="33" t="s">
        <v>122</v>
      </c>
      <c r="G1" s="35" t="s">
        <v>123</v>
      </c>
      <c r="H1" s="35" t="s">
        <v>124</v>
      </c>
      <c r="I1" s="35" t="s">
        <v>125</v>
      </c>
      <c r="J1" s="35" t="s">
        <v>126</v>
      </c>
      <c r="K1" s="35" t="s">
        <v>127</v>
      </c>
      <c r="L1" s="35" t="s">
        <v>128</v>
      </c>
      <c r="M1" s="35" t="s">
        <v>129</v>
      </c>
      <c r="N1" s="35" t="s">
        <v>130</v>
      </c>
      <c r="O1" s="35" t="s">
        <v>131</v>
      </c>
      <c r="P1" s="35" t="s">
        <v>132</v>
      </c>
      <c r="Q1" s="35" t="s">
        <v>133</v>
      </c>
      <c r="R1" s="36" t="s">
        <v>134</v>
      </c>
      <c r="S1" s="55" t="s">
        <v>135</v>
      </c>
      <c r="T1" s="35" t="s">
        <v>136</v>
      </c>
      <c r="U1" s="35" t="s">
        <v>137</v>
      </c>
      <c r="V1" s="35" t="s">
        <v>138</v>
      </c>
      <c r="W1" s="35" t="s">
        <v>139</v>
      </c>
      <c r="X1" s="35" t="s">
        <v>140</v>
      </c>
      <c r="Y1" s="35" t="s">
        <v>141</v>
      </c>
      <c r="Z1" s="35" t="s">
        <v>142</v>
      </c>
      <c r="AA1" s="35" t="s">
        <v>143</v>
      </c>
      <c r="AB1" s="35" t="s">
        <v>144</v>
      </c>
      <c r="AC1" s="35" t="s">
        <v>145</v>
      </c>
      <c r="AD1" s="35" t="s">
        <v>146</v>
      </c>
      <c r="AE1" s="35" t="s">
        <v>147</v>
      </c>
      <c r="AF1" s="35" t="s">
        <v>148</v>
      </c>
      <c r="AG1" s="37" t="s">
        <v>149</v>
      </c>
      <c r="AH1" s="35" t="s">
        <v>150</v>
      </c>
      <c r="AI1" s="35" t="s">
        <v>151</v>
      </c>
      <c r="AJ1" s="35" t="s">
        <v>152</v>
      </c>
    </row>
    <row r="2" spans="1:37">
      <c r="A2" s="22">
        <v>175244332362622</v>
      </c>
      <c r="B2" s="22" t="str">
        <f>_xlfn.XLOOKUP(Table2[[#This Row],[order_id]],swiggy_order_items!A2:A171,swiggy_order_items!B2:B171)</f>
        <v>Michel (Chicken &amp; Mozza Sandwich)</v>
      </c>
      <c r="C2" s="22" t="str">
        <f>_xlfn.XLOOKUP(Table2[[#This Row],[name of the food]],swiggy_order_items!B2:B171,swiggy_order_items!E2:E171)</f>
        <v>Non_Veg</v>
      </c>
      <c r="D2" s="23" t="b">
        <v>1</v>
      </c>
      <c r="E2" s="23" t="s">
        <v>153</v>
      </c>
      <c r="F2" s="39">
        <f t="shared" ref="F2:F33" si="0">IFERROR(TRUNC((_xlfn.TEXTBEFORE(_xlfn.TEXTAFTER(G2,"""total_offer_discount"":"),",")),2),"NO OFFER")</f>
        <v>120</v>
      </c>
      <c r="G2" s="23" t="s">
        <v>154</v>
      </c>
      <c r="H2" s="23" t="s">
        <v>155</v>
      </c>
      <c r="I2" s="23" t="s">
        <v>156</v>
      </c>
      <c r="J2" s="23" t="s">
        <v>157</v>
      </c>
      <c r="K2" s="23" t="s">
        <v>158</v>
      </c>
      <c r="L2" s="23" t="s">
        <v>159</v>
      </c>
      <c r="M2" s="23" t="s">
        <v>160</v>
      </c>
      <c r="N2" s="23" t="s">
        <v>161</v>
      </c>
      <c r="O2" s="23" t="s">
        <v>162</v>
      </c>
      <c r="P2" s="23" t="s">
        <v>163</v>
      </c>
      <c r="Q2" s="23" t="s">
        <v>164</v>
      </c>
      <c r="R2" s="24">
        <v>1587</v>
      </c>
      <c r="S2" s="56">
        <f>Table2[[#This Row],[delivery_time_in_seconds]]/60</f>
        <v>26.45</v>
      </c>
      <c r="T2" s="23">
        <v>146</v>
      </c>
      <c r="U2" s="23">
        <v>146</v>
      </c>
      <c r="V2" s="23">
        <v>146</v>
      </c>
      <c r="W2" s="23">
        <v>225</v>
      </c>
      <c r="X2" s="23">
        <v>43</v>
      </c>
      <c r="Y2" s="23" t="s">
        <v>165</v>
      </c>
      <c r="Z2" s="23" t="str">
        <f>IF(Table2[[#This Row],[restaurant_customer_distance]]&lt;=2,"0-2 Km",IF(Table2[[#This Row],[restaurant_customer_distance]]&lt;=5,"2-5 Km",IF(Table2[[#This Row],[restaurant_customer_distance]]&lt;=8,"5-8 Km","8+Km")))</f>
        <v>2-5 Km</v>
      </c>
      <c r="AA2" s="23">
        <v>2.2000000000000002</v>
      </c>
      <c r="AB2" s="23" t="s">
        <v>166</v>
      </c>
      <c r="AC2" s="23" t="s">
        <v>163</v>
      </c>
      <c r="AD2" s="23" t="b">
        <v>0</v>
      </c>
      <c r="AE2" s="23">
        <v>0</v>
      </c>
      <c r="AF2" s="25">
        <f t="shared" ref="AF2:AF33" si="1">EOMONTH(H2,-1)+1</f>
        <v>45413</v>
      </c>
      <c r="AG2" s="26" t="str">
        <f>IFERROR(VLOOKUP(AC2,#REF!,2,0),AC2)</f>
        <v>JP Nagar</v>
      </c>
      <c r="AH2" s="30" t="str">
        <f t="shared" ref="AH2:AH33" si="2">IFERROR(TRIM(_xlfn.TEXTBEFORE(N2,"-")),N2)</f>
        <v>Paris Panini</v>
      </c>
      <c r="AI2" s="31" t="str">
        <f>_xlfn.TEXTBEFORE(Y2,",")</f>
        <v>12.90649867</v>
      </c>
      <c r="AJ2" s="32" t="str">
        <f>_xlfn.TEXTAFTER(Y2,",")</f>
        <v>77.59165435</v>
      </c>
      <c r="AK2"/>
    </row>
    <row r="3" spans="1:37">
      <c r="A3" s="22">
        <v>175167017704058</v>
      </c>
      <c r="B3" s="22" t="str">
        <f>_xlfn.XLOOKUP(Table2[[#This Row],[order_id]],swiggy_order_items!A3:A172,swiggy_order_items!B3:B172)</f>
        <v>Supreme Boneless Chicken Biryani</v>
      </c>
      <c r="C3" s="22" t="str">
        <f>_xlfn.XLOOKUP(Table2[[#This Row],[name of the food]],swiggy_order_items!B3:B172,swiggy_order_items!E3:E172)</f>
        <v>Non_Veg</v>
      </c>
      <c r="D3" s="23" t="b">
        <v>0</v>
      </c>
      <c r="E3" s="23" t="s">
        <v>167</v>
      </c>
      <c r="F3" s="39" t="str">
        <f t="shared" si="0"/>
        <v>NO OFFER</v>
      </c>
      <c r="G3" s="23" t="s">
        <v>168</v>
      </c>
      <c r="H3" s="23" t="s">
        <v>169</v>
      </c>
      <c r="I3" s="23" t="s">
        <v>170</v>
      </c>
      <c r="J3" s="23" t="s">
        <v>157</v>
      </c>
      <c r="K3" s="23" t="s">
        <v>158</v>
      </c>
      <c r="L3" s="23" t="s">
        <v>171</v>
      </c>
      <c r="M3" s="23" t="s">
        <v>172</v>
      </c>
      <c r="N3" s="23" t="s">
        <v>173</v>
      </c>
      <c r="O3" s="23" t="s">
        <v>174</v>
      </c>
      <c r="P3" s="23" t="s">
        <v>163</v>
      </c>
      <c r="Q3" s="23" t="s">
        <v>164</v>
      </c>
      <c r="R3" s="24">
        <v>1853</v>
      </c>
      <c r="S3" s="56">
        <f>Table2[[#This Row],[delivery_time_in_seconds]]/60</f>
        <v>30.883333333333333</v>
      </c>
      <c r="T3" s="23">
        <v>555</v>
      </c>
      <c r="U3" s="23">
        <v>555</v>
      </c>
      <c r="V3" s="23">
        <v>555</v>
      </c>
      <c r="W3" s="23">
        <v>480</v>
      </c>
      <c r="X3" s="23">
        <v>41</v>
      </c>
      <c r="Y3" s="23" t="s">
        <v>175</v>
      </c>
      <c r="Z3" s="23" t="str">
        <f>IF(Table2[[#This Row],[restaurant_customer_distance]]&lt;=2,"0-2 Km",IF(Table2[[#This Row],[restaurant_customer_distance]]&lt;=5,"2-5 Km",IF(Table2[[#This Row],[restaurant_customer_distance]]&lt;=8,"5-8 Km","8+Km")))</f>
        <v>2-5 Km</v>
      </c>
      <c r="AA3" s="23">
        <v>2.2000000000000002</v>
      </c>
      <c r="AB3" s="23" t="s">
        <v>166</v>
      </c>
      <c r="AC3" s="23" t="s">
        <v>163</v>
      </c>
      <c r="AD3" s="23" t="b">
        <v>0</v>
      </c>
      <c r="AE3" s="23">
        <v>0</v>
      </c>
      <c r="AF3" s="25">
        <f t="shared" si="1"/>
        <v>45413</v>
      </c>
      <c r="AG3" s="26" t="str">
        <f>IFERROR(VLOOKUP(AC3,#REF!,2,0),AC3)</f>
        <v>JP Nagar</v>
      </c>
      <c r="AH3" s="27" t="str">
        <f t="shared" si="2"/>
        <v>Nandhana Palace</v>
      </c>
      <c r="AI3" s="28" t="str">
        <f t="shared" ref="AI3:AI66" si="3">_xlfn.TEXTBEFORE(Y3,",")</f>
        <v>12.914599</v>
      </c>
      <c r="AJ3" s="29" t="str">
        <f t="shared" ref="AJ3:AJ66" si="4">_xlfn.TEXTAFTER(Y3,",")</f>
        <v>77.585509</v>
      </c>
      <c r="AK3"/>
    </row>
    <row r="4" spans="1:37">
      <c r="A4" s="22">
        <v>175017114796029</v>
      </c>
      <c r="B4" s="22" t="str">
        <f>_xlfn.XLOOKUP(Table2[[#This Row],[order_id]],swiggy_order_items!A4:A173,swiggy_order_items!B4:B173)</f>
        <v>Mississippi Mud Pie</v>
      </c>
      <c r="C4" s="22" t="str">
        <f>_xlfn.XLOOKUP(Table2[[#This Row],[name of the food]],swiggy_order_items!B4:B173,swiggy_order_items!E4:E173)</f>
        <v>Non_Veg</v>
      </c>
      <c r="D4" s="23" t="b">
        <v>1</v>
      </c>
      <c r="E4" s="23" t="s">
        <v>176</v>
      </c>
      <c r="F4" s="39">
        <f t="shared" si="0"/>
        <v>80</v>
      </c>
      <c r="G4" s="23" t="s">
        <v>177</v>
      </c>
      <c r="H4" s="23" t="s">
        <v>178</v>
      </c>
      <c r="I4" s="23" t="s">
        <v>179</v>
      </c>
      <c r="J4" s="23" t="s">
        <v>157</v>
      </c>
      <c r="K4" s="23" t="s">
        <v>158</v>
      </c>
      <c r="L4" s="23" t="s">
        <v>180</v>
      </c>
      <c r="M4" s="23" t="s">
        <v>181</v>
      </c>
      <c r="N4" s="23" t="s">
        <v>182</v>
      </c>
      <c r="O4" s="23" t="s">
        <v>183</v>
      </c>
      <c r="P4" s="23" t="s">
        <v>184</v>
      </c>
      <c r="Q4" s="23" t="s">
        <v>164</v>
      </c>
      <c r="R4" s="24">
        <v>1559</v>
      </c>
      <c r="S4" s="56">
        <f>Table2[[#This Row],[delivery_time_in_seconds]]/60</f>
        <v>25.983333333333334</v>
      </c>
      <c r="T4" s="23">
        <v>382</v>
      </c>
      <c r="U4" s="23">
        <v>382</v>
      </c>
      <c r="V4" s="23">
        <v>382</v>
      </c>
      <c r="W4" s="23">
        <v>400</v>
      </c>
      <c r="X4" s="23">
        <v>69</v>
      </c>
      <c r="Y4" s="23" t="s">
        <v>185</v>
      </c>
      <c r="Z4" s="23" t="str">
        <f>IF(Table2[[#This Row],[restaurant_customer_distance]]&lt;=2,"0-2 Km",IF(Table2[[#This Row],[restaurant_customer_distance]]&lt;=5,"2-5 Km",IF(Table2[[#This Row],[restaurant_customer_distance]]&lt;=8,"5-8 Km","8+Km")))</f>
        <v>2-5 Km</v>
      </c>
      <c r="AA4" s="23">
        <v>3.6</v>
      </c>
      <c r="AB4" s="23" t="s">
        <v>166</v>
      </c>
      <c r="AC4" s="23" t="s">
        <v>186</v>
      </c>
      <c r="AD4" s="23" t="b">
        <v>1</v>
      </c>
      <c r="AE4" s="23">
        <v>0</v>
      </c>
      <c r="AF4" s="25">
        <f t="shared" si="1"/>
        <v>45413</v>
      </c>
      <c r="AG4" s="26" t="str">
        <f>IFERROR(VLOOKUP(AC4,#REF!,2,0),AC4)</f>
        <v>Jayanagar</v>
      </c>
      <c r="AH4" s="27" t="str">
        <f t="shared" si="2"/>
        <v>The Ganache Factory</v>
      </c>
      <c r="AI4" s="28" t="str">
        <f t="shared" si="3"/>
        <v>12.91835714</v>
      </c>
      <c r="AJ4" s="29" t="str">
        <f t="shared" si="4"/>
        <v>77.578127</v>
      </c>
      <c r="AK4"/>
    </row>
    <row r="5" spans="1:37">
      <c r="A5" s="22">
        <v>174973046023416</v>
      </c>
      <c r="B5" s="22" t="str">
        <f>_xlfn.XLOOKUP(Table2[[#This Row],[order_id]],swiggy_order_items!A5:A174,swiggy_order_items!B5:B174)</f>
        <v>Dark Chocolate Smoothie Bowl.</v>
      </c>
      <c r="C5" s="22" t="str">
        <f>_xlfn.XLOOKUP(Table2[[#This Row],[name of the food]],swiggy_order_items!B5:B174,swiggy_order_items!E5:E174)</f>
        <v>Veg</v>
      </c>
      <c r="D5" s="23" t="b">
        <v>1</v>
      </c>
      <c r="E5" s="23" t="s">
        <v>153</v>
      </c>
      <c r="F5" s="39">
        <f t="shared" si="0"/>
        <v>39.99</v>
      </c>
      <c r="G5" s="23" t="s">
        <v>187</v>
      </c>
      <c r="H5" s="23" t="s">
        <v>188</v>
      </c>
      <c r="I5" s="23" t="s">
        <v>189</v>
      </c>
      <c r="J5" s="23" t="s">
        <v>157</v>
      </c>
      <c r="K5" s="23" t="s">
        <v>158</v>
      </c>
      <c r="L5" s="23" t="s">
        <v>190</v>
      </c>
      <c r="M5" s="23" t="s">
        <v>191</v>
      </c>
      <c r="N5" s="23" t="s">
        <v>192</v>
      </c>
      <c r="O5" s="23" t="s">
        <v>193</v>
      </c>
      <c r="P5" s="23" t="s">
        <v>194</v>
      </c>
      <c r="Q5" s="23" t="s">
        <v>164</v>
      </c>
      <c r="R5" s="24">
        <v>3760</v>
      </c>
      <c r="S5" s="56">
        <f>Table2[[#This Row],[delivery_time_in_seconds]]/60</f>
        <v>62.666666666666664</v>
      </c>
      <c r="T5" s="23">
        <v>421</v>
      </c>
      <c r="U5" s="23">
        <v>421</v>
      </c>
      <c r="V5" s="23">
        <v>421</v>
      </c>
      <c r="W5" s="23">
        <v>415</v>
      </c>
      <c r="X5" s="23">
        <v>46</v>
      </c>
      <c r="Y5" s="23" t="s">
        <v>195</v>
      </c>
      <c r="Z5" s="23" t="str">
        <f>IF(Table2[[#This Row],[restaurant_customer_distance]]&lt;=2,"0-2 Km",IF(Table2[[#This Row],[restaurant_customer_distance]]&lt;=5,"2-5 Km",IF(Table2[[#This Row],[restaurant_customer_distance]]&lt;=8,"5-8 Km","8+Km")))</f>
        <v>2-5 Km</v>
      </c>
      <c r="AA5" s="23">
        <v>2.5</v>
      </c>
      <c r="AB5" s="23" t="s">
        <v>166</v>
      </c>
      <c r="AC5" s="23" t="s">
        <v>196</v>
      </c>
      <c r="AD5" s="23" t="b">
        <v>0</v>
      </c>
      <c r="AE5" s="23">
        <v>0</v>
      </c>
      <c r="AF5" s="25">
        <f t="shared" si="1"/>
        <v>45413</v>
      </c>
      <c r="AG5" s="26" t="str">
        <f>IFERROR(VLOOKUP(AC5,#REF!,2,0),AC5)</f>
        <v>BTM 2nd Stage</v>
      </c>
      <c r="AH5" s="27" t="str">
        <f t="shared" si="2"/>
        <v>Rasayan</v>
      </c>
      <c r="AI5" s="28" t="str">
        <f t="shared" si="3"/>
        <v>12.907799</v>
      </c>
      <c r="AJ5" s="29" t="str">
        <f t="shared" si="4"/>
        <v>77.613487</v>
      </c>
      <c r="AK5"/>
    </row>
    <row r="6" spans="1:37">
      <c r="A6" s="22">
        <v>174906705849277</v>
      </c>
      <c r="B6" s="22" t="str">
        <f>_xlfn.XLOOKUP(Table2[[#This Row],[order_id]],swiggy_order_items!A6:A175,swiggy_order_items!B6:B175)</f>
        <v>Chicken Kheema Lasagne</v>
      </c>
      <c r="C6" s="22" t="str">
        <f>_xlfn.XLOOKUP(Table2[[#This Row],[name of the food]],swiggy_order_items!B6:B175,swiggy_order_items!E6:E175)</f>
        <v>Non_Veg</v>
      </c>
      <c r="D6" s="23" t="b">
        <v>1</v>
      </c>
      <c r="E6" s="23" t="s">
        <v>197</v>
      </c>
      <c r="F6" s="39">
        <f t="shared" si="0"/>
        <v>124.99</v>
      </c>
      <c r="G6" s="23" t="s">
        <v>198</v>
      </c>
      <c r="H6" s="23" t="s">
        <v>199</v>
      </c>
      <c r="I6" s="23" t="s">
        <v>200</v>
      </c>
      <c r="J6" s="23" t="s">
        <v>157</v>
      </c>
      <c r="K6" s="23" t="s">
        <v>158</v>
      </c>
      <c r="L6" s="23" t="s">
        <v>201</v>
      </c>
      <c r="M6" s="23" t="s">
        <v>202</v>
      </c>
      <c r="N6" s="23" t="s">
        <v>203</v>
      </c>
      <c r="O6" s="23" t="s">
        <v>204</v>
      </c>
      <c r="P6" s="23" t="s">
        <v>205</v>
      </c>
      <c r="Q6" s="23" t="s">
        <v>164</v>
      </c>
      <c r="R6" s="24">
        <v>2257</v>
      </c>
      <c r="S6" s="56">
        <f>Table2[[#This Row],[delivery_time_in_seconds]]/60</f>
        <v>37.616666666666667</v>
      </c>
      <c r="T6" s="23">
        <v>556</v>
      </c>
      <c r="U6" s="23">
        <v>556</v>
      </c>
      <c r="V6" s="23">
        <v>556</v>
      </c>
      <c r="W6" s="23">
        <v>624</v>
      </c>
      <c r="X6" s="23">
        <v>35</v>
      </c>
      <c r="Y6" s="23" t="s">
        <v>206</v>
      </c>
      <c r="Z6" s="23" t="str">
        <f>IF(Table2[[#This Row],[restaurant_customer_distance]]&lt;=2,"0-2 Km",IF(Table2[[#This Row],[restaurant_customer_distance]]&lt;=5,"2-5 Km",IF(Table2[[#This Row],[restaurant_customer_distance]]&lt;=8,"5-8 Km","8+Km")))</f>
        <v>2-5 Km</v>
      </c>
      <c r="AA6" s="23">
        <v>2.2000000000000002</v>
      </c>
      <c r="AB6" s="23" t="s">
        <v>166</v>
      </c>
      <c r="AC6" s="23" t="s">
        <v>207</v>
      </c>
      <c r="AD6" s="23" t="b">
        <v>0</v>
      </c>
      <c r="AE6" s="23">
        <v>0</v>
      </c>
      <c r="AF6" s="25">
        <f t="shared" si="1"/>
        <v>45413</v>
      </c>
      <c r="AG6" s="26" t="str">
        <f>IFERROR(VLOOKUP(AC6,#REF!,2,0),AC6)</f>
        <v>BTM 1st Stage</v>
      </c>
      <c r="AH6" s="27" t="str">
        <f t="shared" si="2"/>
        <v>Firangi Bake</v>
      </c>
      <c r="AI6" s="28" t="str">
        <f t="shared" si="3"/>
        <v>12.920219</v>
      </c>
      <c r="AJ6" s="29" t="str">
        <f t="shared" si="4"/>
        <v>77.610520</v>
      </c>
      <c r="AK6"/>
    </row>
    <row r="7" spans="1:37">
      <c r="A7" s="22">
        <v>174329455765789</v>
      </c>
      <c r="B7" s="22" t="str">
        <f>_xlfn.XLOOKUP(Table2[[#This Row],[order_id]],swiggy_order_items!A7:A176,swiggy_order_items!B7:B176)</f>
        <v>Veg. Ramyun</v>
      </c>
      <c r="C7" s="22" t="str">
        <f>_xlfn.XLOOKUP(Table2[[#This Row],[name of the food]],swiggy_order_items!B7:B176,swiggy_order_items!E7:E176)</f>
        <v>Veg</v>
      </c>
      <c r="D7" s="23" t="b">
        <v>1</v>
      </c>
      <c r="E7" s="23" t="s">
        <v>208</v>
      </c>
      <c r="F7" s="39">
        <f t="shared" si="0"/>
        <v>149.99</v>
      </c>
      <c r="G7" s="23" t="s">
        <v>209</v>
      </c>
      <c r="H7" s="23" t="s">
        <v>210</v>
      </c>
      <c r="I7" s="23" t="s">
        <v>211</v>
      </c>
      <c r="J7" s="23" t="s">
        <v>157</v>
      </c>
      <c r="K7" s="23" t="s">
        <v>158</v>
      </c>
      <c r="L7" s="23" t="s">
        <v>212</v>
      </c>
      <c r="M7" s="23" t="s">
        <v>213</v>
      </c>
      <c r="N7" s="23" t="s">
        <v>214</v>
      </c>
      <c r="O7" s="23" t="s">
        <v>215</v>
      </c>
      <c r="P7" s="23" t="s">
        <v>216</v>
      </c>
      <c r="Q7" s="23" t="s">
        <v>164</v>
      </c>
      <c r="R7" s="24">
        <v>3262</v>
      </c>
      <c r="S7" s="56">
        <f>Table2[[#This Row],[delivery_time_in_seconds]]/60</f>
        <v>54.366666666666667</v>
      </c>
      <c r="T7" s="23">
        <v>1062</v>
      </c>
      <c r="U7" s="23">
        <v>1062</v>
      </c>
      <c r="V7" s="23">
        <v>1062</v>
      </c>
      <c r="W7" s="23">
        <v>1050</v>
      </c>
      <c r="X7" s="23">
        <v>45</v>
      </c>
      <c r="Y7" s="23" t="s">
        <v>217</v>
      </c>
      <c r="Z7" s="23" t="str">
        <f>IF(Table2[[#This Row],[restaurant_customer_distance]]&lt;=2,"0-2 Km",IF(Table2[[#This Row],[restaurant_customer_distance]]&lt;=5,"2-5 Km",IF(Table2[[#This Row],[restaurant_customer_distance]]&lt;=8,"5-8 Km","8+Km")))</f>
        <v>2-5 Km</v>
      </c>
      <c r="AA7" s="23">
        <v>3.2</v>
      </c>
      <c r="AB7" s="23" t="s">
        <v>218</v>
      </c>
      <c r="AC7" s="23" t="s">
        <v>186</v>
      </c>
      <c r="AD7" s="23" t="b">
        <v>0</v>
      </c>
      <c r="AE7" s="23">
        <v>0</v>
      </c>
      <c r="AF7" s="25">
        <f t="shared" si="1"/>
        <v>45413</v>
      </c>
      <c r="AG7" s="26" t="str">
        <f>IFERROR(VLOOKUP(AC7,#REF!,2,0),AC7)</f>
        <v>Jayanagar</v>
      </c>
      <c r="AH7" s="27" t="str">
        <f t="shared" si="2"/>
        <v>Daily Sushi</v>
      </c>
      <c r="AI7" s="28" t="str">
        <f t="shared" si="3"/>
        <v>12.92243257</v>
      </c>
      <c r="AJ7" s="29" t="str">
        <f t="shared" si="4"/>
        <v>77.58390586</v>
      </c>
      <c r="AK7"/>
    </row>
    <row r="8" spans="1:37">
      <c r="A8" s="22">
        <v>174318296922309</v>
      </c>
      <c r="B8" s="22" t="str">
        <f>_xlfn.XLOOKUP(Table2[[#This Row],[order_id]],swiggy_order_items!A8:A177,swiggy_order_items!B8:B177)</f>
        <v>Onion Rings</v>
      </c>
      <c r="C8" s="22" t="str">
        <f>_xlfn.XLOOKUP(Table2[[#This Row],[name of the food]],swiggy_order_items!B8:B177,swiggy_order_items!E8:E177)</f>
        <v>Veg</v>
      </c>
      <c r="D8" s="23" t="b">
        <v>1</v>
      </c>
      <c r="E8" s="23" t="s">
        <v>153</v>
      </c>
      <c r="F8" s="39">
        <f t="shared" si="0"/>
        <v>120</v>
      </c>
      <c r="G8" s="23" t="s">
        <v>154</v>
      </c>
      <c r="H8" s="23" t="s">
        <v>219</v>
      </c>
      <c r="I8" s="23" t="s">
        <v>220</v>
      </c>
      <c r="J8" s="23" t="s">
        <v>157</v>
      </c>
      <c r="K8" s="23" t="s">
        <v>158</v>
      </c>
      <c r="L8" s="23" t="s">
        <v>221</v>
      </c>
      <c r="M8" s="23" t="s">
        <v>160</v>
      </c>
      <c r="N8" s="23" t="s">
        <v>161</v>
      </c>
      <c r="O8" s="23" t="s">
        <v>162</v>
      </c>
      <c r="P8" s="23" t="s">
        <v>163</v>
      </c>
      <c r="Q8" s="23" t="s">
        <v>164</v>
      </c>
      <c r="R8" s="24">
        <v>2401</v>
      </c>
      <c r="S8" s="56">
        <f>Table2[[#This Row],[delivery_time_in_seconds]]/60</f>
        <v>40.016666666666666</v>
      </c>
      <c r="T8" s="23">
        <v>440</v>
      </c>
      <c r="U8" s="23">
        <v>440</v>
      </c>
      <c r="V8" s="23">
        <v>440</v>
      </c>
      <c r="W8" s="23">
        <v>480</v>
      </c>
      <c r="X8" s="23">
        <v>45</v>
      </c>
      <c r="Y8" s="23" t="s">
        <v>165</v>
      </c>
      <c r="Z8" s="23" t="str">
        <f>IF(Table2[[#This Row],[restaurant_customer_distance]]&lt;=2,"0-2 Km",IF(Table2[[#This Row],[restaurant_customer_distance]]&lt;=5,"2-5 Km",IF(Table2[[#This Row],[restaurant_customer_distance]]&lt;=8,"5-8 Km","8+Km")))</f>
        <v>2-5 Km</v>
      </c>
      <c r="AA8" s="23">
        <v>2.1</v>
      </c>
      <c r="AB8" s="23" t="s">
        <v>218</v>
      </c>
      <c r="AC8" s="23" t="s">
        <v>163</v>
      </c>
      <c r="AD8" s="23" t="b">
        <v>0</v>
      </c>
      <c r="AE8" s="23">
        <v>0</v>
      </c>
      <c r="AF8" s="25">
        <f t="shared" si="1"/>
        <v>45413</v>
      </c>
      <c r="AG8" s="26" t="str">
        <f>IFERROR(VLOOKUP(AC8,#REF!,2,0),AC8)</f>
        <v>JP Nagar</v>
      </c>
      <c r="AH8" s="27" t="str">
        <f t="shared" si="2"/>
        <v>Paris Panini</v>
      </c>
      <c r="AI8" s="28" t="str">
        <f t="shared" si="3"/>
        <v>12.90649867</v>
      </c>
      <c r="AJ8" s="29" t="str">
        <f t="shared" si="4"/>
        <v>77.59165435</v>
      </c>
      <c r="AK8"/>
    </row>
    <row r="9" spans="1:37">
      <c r="A9" s="22">
        <v>174118005152904</v>
      </c>
      <c r="B9" s="22" t="str">
        <f>_xlfn.XLOOKUP(Table2[[#This Row],[order_id]],swiggy_order_items!A9:A178,swiggy_order_items!B9:B178)</f>
        <v>Special Pandi Curry Thali</v>
      </c>
      <c r="C9" s="22" t="str">
        <f>_xlfn.XLOOKUP(Table2[[#This Row],[name of the food]],swiggy_order_items!B9:B178,swiggy_order_items!E9:E178)</f>
        <v>Non_Veg</v>
      </c>
      <c r="D9" s="23" t="b">
        <v>1</v>
      </c>
      <c r="E9" s="23" t="s">
        <v>153</v>
      </c>
      <c r="F9" s="39">
        <f t="shared" si="0"/>
        <v>35</v>
      </c>
      <c r="G9" s="23" t="s">
        <v>222</v>
      </c>
      <c r="H9" s="23" t="s">
        <v>223</v>
      </c>
      <c r="I9" s="23" t="s">
        <v>224</v>
      </c>
      <c r="J9" s="23" t="s">
        <v>157</v>
      </c>
      <c r="K9" s="23" t="s">
        <v>158</v>
      </c>
      <c r="L9" s="23" t="s">
        <v>225</v>
      </c>
      <c r="M9" s="23" t="s">
        <v>226</v>
      </c>
      <c r="N9" s="23" t="s">
        <v>227</v>
      </c>
      <c r="O9" s="23" t="s">
        <v>228</v>
      </c>
      <c r="P9" s="23" t="s">
        <v>229</v>
      </c>
      <c r="Q9" s="23" t="s">
        <v>164</v>
      </c>
      <c r="R9" s="24">
        <v>2824</v>
      </c>
      <c r="S9" s="56">
        <f>Table2[[#This Row],[delivery_time_in_seconds]]/60</f>
        <v>47.06666666666667</v>
      </c>
      <c r="T9" s="23">
        <v>352</v>
      </c>
      <c r="U9" s="23">
        <v>352</v>
      </c>
      <c r="V9" s="23">
        <v>352</v>
      </c>
      <c r="W9" s="23">
        <v>350</v>
      </c>
      <c r="X9" s="23">
        <v>36</v>
      </c>
      <c r="Y9" s="23" t="s">
        <v>230</v>
      </c>
      <c r="Z9" s="23" t="str">
        <f>IF(Table2[[#This Row],[restaurant_customer_distance]]&lt;=2,"0-2 Km",IF(Table2[[#This Row],[restaurant_customer_distance]]&lt;=5,"2-5 Km",IF(Table2[[#This Row],[restaurant_customer_distance]]&lt;=8,"5-8 Km","8+Km")))</f>
        <v>2-5 Km</v>
      </c>
      <c r="AA9" s="23">
        <v>3.2</v>
      </c>
      <c r="AB9" s="23" t="s">
        <v>166</v>
      </c>
      <c r="AC9" s="23" t="s">
        <v>231</v>
      </c>
      <c r="AD9" s="23" t="b">
        <v>1</v>
      </c>
      <c r="AE9" s="23">
        <v>0</v>
      </c>
      <c r="AF9" s="25">
        <f t="shared" si="1"/>
        <v>45413</v>
      </c>
      <c r="AG9" s="26" t="str">
        <f>IFERROR(VLOOKUP(AC9,#REF!,2,0),AC9)</f>
        <v>Arekere</v>
      </c>
      <c r="AH9" s="27" t="str">
        <f t="shared" si="2"/>
        <v>Naalnaad Mane</v>
      </c>
      <c r="AI9" s="28" t="str">
        <f t="shared" si="3"/>
        <v>12.89009167</v>
      </c>
      <c r="AJ9" s="29" t="str">
        <f t="shared" si="4"/>
        <v>77.5976944</v>
      </c>
      <c r="AK9"/>
    </row>
    <row r="10" spans="1:37">
      <c r="A10" s="22">
        <v>174075356745024</v>
      </c>
      <c r="B10" s="22" t="str">
        <f>_xlfn.XLOOKUP(Table2[[#This Row],[order_id]],swiggy_order_items!A10:A179,swiggy_order_items!B10:B179)</f>
        <v>Overload Brownie [1 Piece]</v>
      </c>
      <c r="C10" s="22" t="str">
        <f>_xlfn.XLOOKUP(Table2[[#This Row],[name of the food]],swiggy_order_items!B10:B179,swiggy_order_items!E10:E179)</f>
        <v>Non_Veg</v>
      </c>
      <c r="D10" s="23" t="b">
        <v>0</v>
      </c>
      <c r="E10" s="23" t="s">
        <v>167</v>
      </c>
      <c r="F10" s="39" t="str">
        <f t="shared" si="0"/>
        <v>NO OFFER</v>
      </c>
      <c r="G10" s="23" t="s">
        <v>168</v>
      </c>
      <c r="H10" s="23" t="s">
        <v>232</v>
      </c>
      <c r="I10" s="23" t="s">
        <v>233</v>
      </c>
      <c r="J10" s="23" t="s">
        <v>157</v>
      </c>
      <c r="K10" s="23" t="s">
        <v>158</v>
      </c>
      <c r="L10" s="23" t="s">
        <v>234</v>
      </c>
      <c r="M10" s="23" t="s">
        <v>235</v>
      </c>
      <c r="N10" s="23" t="s">
        <v>236</v>
      </c>
      <c r="O10" s="23" t="s">
        <v>237</v>
      </c>
      <c r="P10" s="23" t="s">
        <v>238</v>
      </c>
      <c r="Q10" s="23" t="s">
        <v>164</v>
      </c>
      <c r="R10" s="24">
        <v>2011</v>
      </c>
      <c r="S10" s="56">
        <f>Table2[[#This Row],[delivery_time_in_seconds]]/60</f>
        <v>33.516666666666666</v>
      </c>
      <c r="T10" s="23">
        <v>644</v>
      </c>
      <c r="U10" s="23">
        <v>644</v>
      </c>
      <c r="V10" s="23">
        <v>644</v>
      </c>
      <c r="W10" s="23">
        <v>275</v>
      </c>
      <c r="X10" s="23">
        <v>71</v>
      </c>
      <c r="Y10" s="23" t="s">
        <v>239</v>
      </c>
      <c r="Z10" s="23" t="str">
        <f>IF(Table2[[#This Row],[restaurant_customer_distance]]&lt;=2,"0-2 Km",IF(Table2[[#This Row],[restaurant_customer_distance]]&lt;=5,"2-5 Km",IF(Table2[[#This Row],[restaurant_customer_distance]]&lt;=8,"5-8 Km","8+Km")))</f>
        <v>5-8 Km</v>
      </c>
      <c r="AA10" s="23">
        <v>5.2</v>
      </c>
      <c r="AB10" s="23" t="s">
        <v>166</v>
      </c>
      <c r="AC10" s="23" t="s">
        <v>240</v>
      </c>
      <c r="AD10" s="23" t="b">
        <v>1</v>
      </c>
      <c r="AE10" s="23">
        <v>0</v>
      </c>
      <c r="AF10" s="25">
        <f t="shared" si="1"/>
        <v>45413</v>
      </c>
      <c r="AG10" s="26" t="str">
        <f>IFERROR(VLOOKUP(AC10,#REF!,2,0),AC10)</f>
        <v>HSR Layout</v>
      </c>
      <c r="AH10" s="27" t="str">
        <f t="shared" si="2"/>
        <v>Theobroma</v>
      </c>
      <c r="AI10" s="28" t="str">
        <f t="shared" si="3"/>
        <v>12.91135428</v>
      </c>
      <c r="AJ10" s="29" t="str">
        <f t="shared" si="4"/>
        <v>77.6380469</v>
      </c>
      <c r="AK10"/>
    </row>
    <row r="11" spans="1:37">
      <c r="A11" s="22">
        <v>174067299373268</v>
      </c>
      <c r="B11" s="22" t="str">
        <f>_xlfn.XLOOKUP(Table2[[#This Row],[order_id]],swiggy_order_items!A11:A180,swiggy_order_items!B11:B180)</f>
        <v>Chocolate Mousse Cup [100g]</v>
      </c>
      <c r="C11" s="22" t="str">
        <f>_xlfn.XLOOKUP(Table2[[#This Row],[name of the food]],swiggy_order_items!B11:B180,swiggy_order_items!E11:E180)</f>
        <v>Veg</v>
      </c>
      <c r="D11" s="23" t="b">
        <v>0</v>
      </c>
      <c r="E11" s="23" t="s">
        <v>167</v>
      </c>
      <c r="F11" s="39" t="str">
        <f t="shared" si="0"/>
        <v>NO OFFER</v>
      </c>
      <c r="G11" s="23" t="s">
        <v>168</v>
      </c>
      <c r="H11" s="23" t="s">
        <v>241</v>
      </c>
      <c r="I11" s="23" t="s">
        <v>242</v>
      </c>
      <c r="J11" s="23" t="s">
        <v>157</v>
      </c>
      <c r="K11" s="23" t="s">
        <v>158</v>
      </c>
      <c r="L11" s="23" t="s">
        <v>243</v>
      </c>
      <c r="M11" s="23" t="s">
        <v>244</v>
      </c>
      <c r="N11" s="23" t="s">
        <v>236</v>
      </c>
      <c r="O11" s="23" t="s">
        <v>245</v>
      </c>
      <c r="P11" s="23" t="s">
        <v>246</v>
      </c>
      <c r="Q11" s="23" t="s">
        <v>164</v>
      </c>
      <c r="R11" s="24">
        <v>1455</v>
      </c>
      <c r="S11" s="56">
        <f>Table2[[#This Row],[delivery_time_in_seconds]]/60</f>
        <v>24.25</v>
      </c>
      <c r="T11" s="23">
        <v>387</v>
      </c>
      <c r="U11" s="23">
        <v>387</v>
      </c>
      <c r="V11" s="23">
        <v>387</v>
      </c>
      <c r="W11" s="23">
        <v>275</v>
      </c>
      <c r="X11" s="23">
        <v>0</v>
      </c>
      <c r="Y11" s="23" t="s">
        <v>247</v>
      </c>
      <c r="Z11" s="23" t="str">
        <f>IF(Table2[[#This Row],[restaurant_customer_distance]]&lt;=2,"0-2 Km",IF(Table2[[#This Row],[restaurant_customer_distance]]&lt;=5,"2-5 Km",IF(Table2[[#This Row],[restaurant_customer_distance]]&lt;=8,"5-8 Km","8+Km")))</f>
        <v>2-5 Km</v>
      </c>
      <c r="AA11" s="23">
        <v>3.2</v>
      </c>
      <c r="AB11" s="23" t="s">
        <v>166</v>
      </c>
      <c r="AC11" s="23" t="s">
        <v>186</v>
      </c>
      <c r="AD11" s="23" t="b">
        <v>1</v>
      </c>
      <c r="AE11" s="23">
        <v>0</v>
      </c>
      <c r="AF11" s="25">
        <f t="shared" si="1"/>
        <v>45413</v>
      </c>
      <c r="AG11" s="26" t="str">
        <f>IFERROR(VLOOKUP(AC11,#REF!,2,0),AC11)</f>
        <v>Jayanagar</v>
      </c>
      <c r="AH11" s="27" t="str">
        <f t="shared" si="2"/>
        <v>Theobroma</v>
      </c>
      <c r="AI11" s="28" t="str">
        <f t="shared" si="3"/>
        <v>12.92017647</v>
      </c>
      <c r="AJ11" s="29" t="str">
        <f t="shared" si="4"/>
        <v>77.5836421</v>
      </c>
      <c r="AK11"/>
    </row>
    <row r="12" spans="1:37">
      <c r="A12" s="22">
        <v>174058332503576</v>
      </c>
      <c r="B12" s="22" t="str">
        <f>_xlfn.XLOOKUP(Table2[[#This Row],[order_id]],swiggy_order_items!A12:A181,swiggy_order_items!B12:B181)</f>
        <v>Koli Curry With Ney Kulu/Noolputtu</v>
      </c>
      <c r="C12" s="22" t="str">
        <f>_xlfn.XLOOKUP(Table2[[#This Row],[name of the food]],swiggy_order_items!B12:B181,swiggy_order_items!E12:E181)</f>
        <v>Non_Veg</v>
      </c>
      <c r="D12" s="23" t="b">
        <v>1</v>
      </c>
      <c r="E12" s="23" t="s">
        <v>153</v>
      </c>
      <c r="F12" s="39">
        <f t="shared" si="0"/>
        <v>28</v>
      </c>
      <c r="G12" s="23" t="s">
        <v>248</v>
      </c>
      <c r="H12" s="23" t="s">
        <v>249</v>
      </c>
      <c r="I12" s="23" t="s">
        <v>250</v>
      </c>
      <c r="J12" s="23" t="s">
        <v>157</v>
      </c>
      <c r="K12" s="23" t="s">
        <v>158</v>
      </c>
      <c r="L12" s="23" t="s">
        <v>251</v>
      </c>
      <c r="M12" s="23" t="s">
        <v>226</v>
      </c>
      <c r="N12" s="23" t="s">
        <v>227</v>
      </c>
      <c r="O12" s="23" t="s">
        <v>228</v>
      </c>
      <c r="P12" s="23" t="s">
        <v>229</v>
      </c>
      <c r="Q12" s="23" t="s">
        <v>164</v>
      </c>
      <c r="R12" s="24">
        <v>4292</v>
      </c>
      <c r="S12" s="56">
        <f>Table2[[#This Row],[delivery_time_in_seconds]]/60</f>
        <v>71.533333333333331</v>
      </c>
      <c r="T12" s="23">
        <v>320</v>
      </c>
      <c r="U12" s="23">
        <v>320</v>
      </c>
      <c r="V12" s="23">
        <v>320</v>
      </c>
      <c r="W12" s="23">
        <v>280</v>
      </c>
      <c r="X12" s="23">
        <v>0</v>
      </c>
      <c r="Y12" s="23" t="s">
        <v>230</v>
      </c>
      <c r="Z12" s="23" t="str">
        <f>IF(Table2[[#This Row],[restaurant_customer_distance]]&lt;=2,"0-2 Km",IF(Table2[[#This Row],[restaurant_customer_distance]]&lt;=5,"2-5 Km",IF(Table2[[#This Row],[restaurant_customer_distance]]&lt;=8,"5-8 Km","8+Km")))</f>
        <v>2-5 Km</v>
      </c>
      <c r="AA12" s="23">
        <v>3.2</v>
      </c>
      <c r="AB12" s="23" t="s">
        <v>166</v>
      </c>
      <c r="AC12" s="23" t="s">
        <v>231</v>
      </c>
      <c r="AD12" s="23" t="b">
        <v>0</v>
      </c>
      <c r="AE12" s="23">
        <v>0</v>
      </c>
      <c r="AF12" s="25">
        <f t="shared" si="1"/>
        <v>45413</v>
      </c>
      <c r="AG12" s="26" t="str">
        <f>IFERROR(VLOOKUP(AC12,#REF!,2,0),AC12)</f>
        <v>Arekere</v>
      </c>
      <c r="AH12" s="27" t="str">
        <f t="shared" si="2"/>
        <v>Naalnaad Mane</v>
      </c>
      <c r="AI12" s="28" t="str">
        <f t="shared" si="3"/>
        <v>12.89009167</v>
      </c>
      <c r="AJ12" s="29" t="str">
        <f t="shared" si="4"/>
        <v>77.5976944</v>
      </c>
      <c r="AK12"/>
    </row>
    <row r="13" spans="1:37">
      <c r="A13" s="22">
        <v>174037702433562</v>
      </c>
      <c r="B13" s="22" t="str">
        <f>_xlfn.XLOOKUP(Table2[[#This Row],[order_id]],swiggy_order_items!A13:A182,swiggy_order_items!B13:B182)</f>
        <v>Pepperoni Chicken Tikka lasagna</v>
      </c>
      <c r="C13" s="22" t="str">
        <f>_xlfn.XLOOKUP(Table2[[#This Row],[name of the food]],swiggy_order_items!B13:B182,swiggy_order_items!E13:E182)</f>
        <v>Non_Veg</v>
      </c>
      <c r="D13" s="23" t="b">
        <v>1</v>
      </c>
      <c r="E13" s="23" t="s">
        <v>252</v>
      </c>
      <c r="F13" s="39">
        <f t="shared" si="0"/>
        <v>80</v>
      </c>
      <c r="G13" s="23" t="s">
        <v>253</v>
      </c>
      <c r="H13" s="23" t="s">
        <v>254</v>
      </c>
      <c r="I13" s="23" t="s">
        <v>255</v>
      </c>
      <c r="J13" s="23" t="s">
        <v>157</v>
      </c>
      <c r="K13" s="23" t="s">
        <v>158</v>
      </c>
      <c r="L13" s="23" t="s">
        <v>256</v>
      </c>
      <c r="M13" s="23" t="s">
        <v>202</v>
      </c>
      <c r="N13" s="23" t="s">
        <v>203</v>
      </c>
      <c r="O13" s="23" t="s">
        <v>204</v>
      </c>
      <c r="P13" s="23" t="s">
        <v>205</v>
      </c>
      <c r="Q13" s="23" t="s">
        <v>164</v>
      </c>
      <c r="R13" s="24">
        <v>2730</v>
      </c>
      <c r="S13" s="56">
        <f>Table2[[#This Row],[delivery_time_in_seconds]]/60</f>
        <v>45.5</v>
      </c>
      <c r="T13" s="23">
        <v>320</v>
      </c>
      <c r="U13" s="23">
        <v>320</v>
      </c>
      <c r="V13" s="23">
        <v>320</v>
      </c>
      <c r="W13" s="23">
        <v>325</v>
      </c>
      <c r="X13" s="23">
        <v>0</v>
      </c>
      <c r="Y13" s="23" t="s">
        <v>206</v>
      </c>
      <c r="Z13" s="23" t="str">
        <f>IF(Table2[[#This Row],[restaurant_customer_distance]]&lt;=2,"0-2 Km",IF(Table2[[#This Row],[restaurant_customer_distance]]&lt;=5,"2-5 Km",IF(Table2[[#This Row],[restaurant_customer_distance]]&lt;=8,"5-8 Km","8+Km")))</f>
        <v>2-5 Km</v>
      </c>
      <c r="AA13" s="23">
        <v>2.2000000000000002</v>
      </c>
      <c r="AB13" s="23" t="s">
        <v>166</v>
      </c>
      <c r="AC13" s="23" t="s">
        <v>207</v>
      </c>
      <c r="AD13" s="23" t="b">
        <v>0</v>
      </c>
      <c r="AE13" s="23">
        <v>0</v>
      </c>
      <c r="AF13" s="25">
        <f t="shared" si="1"/>
        <v>45413</v>
      </c>
      <c r="AG13" s="26" t="str">
        <f>IFERROR(VLOOKUP(AC13,#REF!,2,0),AC13)</f>
        <v>BTM 1st Stage</v>
      </c>
      <c r="AH13" s="27" t="str">
        <f t="shared" si="2"/>
        <v>Firangi Bake</v>
      </c>
      <c r="AI13" s="28" t="str">
        <f t="shared" si="3"/>
        <v>12.920219</v>
      </c>
      <c r="AJ13" s="29" t="str">
        <f t="shared" si="4"/>
        <v>77.610520</v>
      </c>
      <c r="AK13"/>
    </row>
    <row r="14" spans="1:37">
      <c r="A14" s="22">
        <v>174026206595017</v>
      </c>
      <c r="B14" s="22" t="str">
        <f>_xlfn.XLOOKUP(Table2[[#This Row],[order_id]],swiggy_order_items!A14:A183,swiggy_order_items!B14:B183)</f>
        <v>Dark Chocolate Smoothie Bowl.</v>
      </c>
      <c r="C14" s="22" t="str">
        <f>_xlfn.XLOOKUP(Table2[[#This Row],[name of the food]],swiggy_order_items!B14:B183,swiggy_order_items!E14:E183)</f>
        <v>Veg</v>
      </c>
      <c r="D14" s="23" t="b">
        <v>1</v>
      </c>
      <c r="E14" s="23" t="s">
        <v>153</v>
      </c>
      <c r="F14" s="39">
        <f t="shared" si="0"/>
        <v>23.9</v>
      </c>
      <c r="G14" s="23" t="s">
        <v>257</v>
      </c>
      <c r="H14" s="23" t="s">
        <v>258</v>
      </c>
      <c r="I14" s="23" t="s">
        <v>259</v>
      </c>
      <c r="J14" s="23" t="s">
        <v>157</v>
      </c>
      <c r="K14" s="23" t="s">
        <v>158</v>
      </c>
      <c r="L14" s="23" t="s">
        <v>260</v>
      </c>
      <c r="M14" s="23" t="s">
        <v>191</v>
      </c>
      <c r="N14" s="23" t="s">
        <v>192</v>
      </c>
      <c r="O14" s="23" t="s">
        <v>193</v>
      </c>
      <c r="P14" s="23" t="s">
        <v>194</v>
      </c>
      <c r="Q14" s="23" t="s">
        <v>164</v>
      </c>
      <c r="R14" s="24">
        <v>1927</v>
      </c>
      <c r="S14" s="56">
        <f>Table2[[#This Row],[delivery_time_in_seconds]]/60</f>
        <v>32.116666666666667</v>
      </c>
      <c r="T14" s="23">
        <v>275</v>
      </c>
      <c r="U14" s="23">
        <v>275</v>
      </c>
      <c r="V14" s="23">
        <v>275</v>
      </c>
      <c r="W14" s="23">
        <v>239</v>
      </c>
      <c r="X14" s="23">
        <v>10</v>
      </c>
      <c r="Y14" s="23" t="s">
        <v>195</v>
      </c>
      <c r="Z14" s="23" t="str">
        <f>IF(Table2[[#This Row],[restaurant_customer_distance]]&lt;=2,"0-2 Km",IF(Table2[[#This Row],[restaurant_customer_distance]]&lt;=5,"2-5 Km",IF(Table2[[#This Row],[restaurant_customer_distance]]&lt;=8,"5-8 Km","8+Km")))</f>
        <v>2-5 Km</v>
      </c>
      <c r="AA14" s="23">
        <v>2.5</v>
      </c>
      <c r="AB14" s="23" t="s">
        <v>166</v>
      </c>
      <c r="AC14" s="23" t="s">
        <v>196</v>
      </c>
      <c r="AD14" s="23" t="b">
        <v>1</v>
      </c>
      <c r="AE14" s="23">
        <v>0</v>
      </c>
      <c r="AF14" s="25">
        <f t="shared" si="1"/>
        <v>45413</v>
      </c>
      <c r="AG14" s="26" t="str">
        <f>IFERROR(VLOOKUP(AC14,#REF!,2,0),AC14)</f>
        <v>BTM 2nd Stage</v>
      </c>
      <c r="AH14" s="27" t="str">
        <f t="shared" si="2"/>
        <v>Rasayan</v>
      </c>
      <c r="AI14" s="28" t="str">
        <f t="shared" si="3"/>
        <v>12.907799</v>
      </c>
      <c r="AJ14" s="29" t="str">
        <f t="shared" si="4"/>
        <v>77.613487</v>
      </c>
      <c r="AK14"/>
    </row>
    <row r="15" spans="1:37">
      <c r="A15" s="22">
        <v>173972919485563</v>
      </c>
      <c r="B15" s="22" t="str">
        <f>_xlfn.XLOOKUP(Table2[[#This Row],[order_id]],swiggy_order_items!A15:A184,swiggy_order_items!B15:B184)</f>
        <v>Michel (Chicken &amp; Mozza Sandwich)</v>
      </c>
      <c r="C15" s="22" t="str">
        <f>_xlfn.XLOOKUP(Table2[[#This Row],[name of the food]],swiggy_order_items!B15:B184,swiggy_order_items!E15:E184)</f>
        <v>Non_Veg</v>
      </c>
      <c r="D15" s="23" t="b">
        <v>1</v>
      </c>
      <c r="E15" s="23" t="s">
        <v>153</v>
      </c>
      <c r="F15" s="39">
        <f t="shared" si="0"/>
        <v>100</v>
      </c>
      <c r="G15" s="23" t="s">
        <v>261</v>
      </c>
      <c r="H15" s="23" t="s">
        <v>262</v>
      </c>
      <c r="I15" s="23" t="s">
        <v>263</v>
      </c>
      <c r="J15" s="23" t="s">
        <v>157</v>
      </c>
      <c r="K15" s="23" t="s">
        <v>158</v>
      </c>
      <c r="L15" s="23" t="s">
        <v>264</v>
      </c>
      <c r="M15" s="23" t="s">
        <v>160</v>
      </c>
      <c r="N15" s="23" t="s">
        <v>161</v>
      </c>
      <c r="O15" s="23" t="s">
        <v>162</v>
      </c>
      <c r="P15" s="23" t="s">
        <v>163</v>
      </c>
      <c r="Q15" s="23" t="s">
        <v>164</v>
      </c>
      <c r="R15" s="24">
        <v>2041</v>
      </c>
      <c r="S15" s="56">
        <f>Table2[[#This Row],[delivery_time_in_seconds]]/60</f>
        <v>34.016666666666666</v>
      </c>
      <c r="T15" s="23">
        <v>334</v>
      </c>
      <c r="U15" s="23">
        <v>334</v>
      </c>
      <c r="V15" s="23">
        <v>334</v>
      </c>
      <c r="W15" s="23">
        <v>385</v>
      </c>
      <c r="X15" s="23">
        <v>42</v>
      </c>
      <c r="Y15" s="23" t="s">
        <v>165</v>
      </c>
      <c r="Z15" s="23" t="str">
        <f>IF(Table2[[#This Row],[restaurant_customer_distance]]&lt;=2,"0-2 Km",IF(Table2[[#This Row],[restaurant_customer_distance]]&lt;=5,"2-5 Km",IF(Table2[[#This Row],[restaurant_customer_distance]]&lt;=8,"5-8 Km","8+Km")))</f>
        <v>2-5 Km</v>
      </c>
      <c r="AA15" s="23">
        <v>2.1</v>
      </c>
      <c r="AB15" s="23" t="s">
        <v>166</v>
      </c>
      <c r="AC15" s="23" t="s">
        <v>163</v>
      </c>
      <c r="AD15" s="23" t="b">
        <v>0</v>
      </c>
      <c r="AE15" s="23">
        <v>0</v>
      </c>
      <c r="AF15" s="25">
        <f t="shared" si="1"/>
        <v>45413</v>
      </c>
      <c r="AG15" s="26" t="str">
        <f>IFERROR(VLOOKUP(AC15,#REF!,2,0),AC15)</f>
        <v>JP Nagar</v>
      </c>
      <c r="AH15" s="27" t="str">
        <f t="shared" si="2"/>
        <v>Paris Panini</v>
      </c>
      <c r="AI15" s="28" t="str">
        <f t="shared" si="3"/>
        <v>12.90649867</v>
      </c>
      <c r="AJ15" s="29" t="str">
        <f t="shared" si="4"/>
        <v>77.59165435</v>
      </c>
      <c r="AK15"/>
    </row>
    <row r="16" spans="1:37">
      <c r="A16" s="22">
        <v>173961191807457</v>
      </c>
      <c r="B16" s="22" t="str">
        <f>_xlfn.XLOOKUP(Table2[[#This Row],[order_id]],swiggy_order_items!A16:A185,swiggy_order_items!B16:B185)</f>
        <v>Raspberry Dark Chocolate</v>
      </c>
      <c r="C16" s="22" t="str">
        <f>_xlfn.XLOOKUP(Table2[[#This Row],[name of the food]],swiggy_order_items!B16:B185,swiggy_order_items!E16:E185)</f>
        <v>Non_Veg</v>
      </c>
      <c r="D16" s="23" t="b">
        <v>0</v>
      </c>
      <c r="E16" s="23" t="s">
        <v>167</v>
      </c>
      <c r="F16" s="39" t="str">
        <f t="shared" si="0"/>
        <v>NO OFFER</v>
      </c>
      <c r="G16" s="23" t="s">
        <v>168</v>
      </c>
      <c r="H16" s="23" t="s">
        <v>265</v>
      </c>
      <c r="I16" s="23" t="s">
        <v>266</v>
      </c>
      <c r="J16" s="23" t="s">
        <v>157</v>
      </c>
      <c r="K16" s="23" t="s">
        <v>158</v>
      </c>
      <c r="L16" s="23" t="s">
        <v>267</v>
      </c>
      <c r="M16" s="23" t="s">
        <v>268</v>
      </c>
      <c r="N16" s="23" t="s">
        <v>269</v>
      </c>
      <c r="O16" s="23" t="s">
        <v>270</v>
      </c>
      <c r="P16" s="23" t="s">
        <v>271</v>
      </c>
      <c r="Q16" s="23" t="s">
        <v>164</v>
      </c>
      <c r="R16" s="24">
        <v>4528</v>
      </c>
      <c r="S16" s="56">
        <f>Table2[[#This Row],[delivery_time_in_seconds]]/60</f>
        <v>75.466666666666669</v>
      </c>
      <c r="T16" s="23">
        <v>509</v>
      </c>
      <c r="U16" s="23">
        <v>509</v>
      </c>
      <c r="V16" s="23">
        <v>509</v>
      </c>
      <c r="W16" s="23">
        <v>370</v>
      </c>
      <c r="X16" s="23">
        <v>0</v>
      </c>
      <c r="Y16" s="23" t="s">
        <v>272</v>
      </c>
      <c r="Z16" s="23" t="str">
        <f>IF(Table2[[#This Row],[restaurant_customer_distance]]&lt;=2,"0-2 Km",IF(Table2[[#This Row],[restaurant_customer_distance]]&lt;=5,"2-5 Km",IF(Table2[[#This Row],[restaurant_customer_distance]]&lt;=8,"5-8 Km","8+Km")))</f>
        <v>8+Km</v>
      </c>
      <c r="AA16" s="23">
        <v>10.199999999999999</v>
      </c>
      <c r="AB16" s="23" t="s">
        <v>166</v>
      </c>
      <c r="AC16" s="23" t="s">
        <v>273</v>
      </c>
      <c r="AD16" s="23" t="b">
        <v>1</v>
      </c>
      <c r="AE16" s="23">
        <v>0</v>
      </c>
      <c r="AF16" s="25">
        <f t="shared" si="1"/>
        <v>45413</v>
      </c>
      <c r="AG16" s="26" t="str">
        <f>IFERROR(VLOOKUP(AC16,#REF!,2,0),AC16)</f>
        <v>Malleshwaram</v>
      </c>
      <c r="AH16" s="27" t="str">
        <f t="shared" si="2"/>
        <v>Love And Crumble</v>
      </c>
      <c r="AI16" s="28" t="str">
        <f t="shared" si="3"/>
        <v>12.98505012</v>
      </c>
      <c r="AJ16" s="29" t="str">
        <f t="shared" si="4"/>
        <v>77.5880017</v>
      </c>
      <c r="AK16"/>
    </row>
    <row r="17" spans="1:37">
      <c r="A17" s="22">
        <v>173953404362535</v>
      </c>
      <c r="B17" s="22" t="str">
        <f>_xlfn.XLOOKUP(Table2[[#This Row],[order_id]],swiggy_order_items!A17:A186,swiggy_order_items!B17:B186)</f>
        <v>Chicken Kheema Lasagne</v>
      </c>
      <c r="C17" s="22" t="str">
        <f>_xlfn.XLOOKUP(Table2[[#This Row],[name of the food]],swiggy_order_items!B17:B186,swiggy_order_items!E17:E186)</f>
        <v>Non_Veg</v>
      </c>
      <c r="D17" s="23" t="b">
        <v>1</v>
      </c>
      <c r="E17" s="23" t="s">
        <v>197</v>
      </c>
      <c r="F17" s="39">
        <f t="shared" si="0"/>
        <v>124.99</v>
      </c>
      <c r="G17" s="23" t="s">
        <v>274</v>
      </c>
      <c r="H17" s="23" t="s">
        <v>275</v>
      </c>
      <c r="I17" s="23" t="s">
        <v>276</v>
      </c>
      <c r="J17" s="23" t="s">
        <v>157</v>
      </c>
      <c r="K17" s="23" t="s">
        <v>158</v>
      </c>
      <c r="L17" s="23" t="s">
        <v>277</v>
      </c>
      <c r="M17" s="23" t="s">
        <v>278</v>
      </c>
      <c r="N17" s="23" t="s">
        <v>203</v>
      </c>
      <c r="O17" s="23" t="s">
        <v>279</v>
      </c>
      <c r="P17" s="23" t="s">
        <v>280</v>
      </c>
      <c r="Q17" s="23" t="s">
        <v>164</v>
      </c>
      <c r="R17" s="24">
        <v>3728</v>
      </c>
      <c r="S17" s="56">
        <f>Table2[[#This Row],[delivery_time_in_seconds]]/60</f>
        <v>62.133333333333333</v>
      </c>
      <c r="T17" s="23">
        <v>556</v>
      </c>
      <c r="U17" s="23">
        <v>556</v>
      </c>
      <c r="V17" s="23">
        <v>556</v>
      </c>
      <c r="W17" s="23">
        <v>624</v>
      </c>
      <c r="X17" s="23">
        <v>48</v>
      </c>
      <c r="Y17" s="23" t="s">
        <v>281</v>
      </c>
      <c r="Z17" s="23" t="str">
        <f>IF(Table2[[#This Row],[restaurant_customer_distance]]&lt;=2,"0-2 Km",IF(Table2[[#This Row],[restaurant_customer_distance]]&lt;=5,"2-5 Km",IF(Table2[[#This Row],[restaurant_customer_distance]]&lt;=8,"5-8 Km","8+Km")))</f>
        <v>2-5 Km</v>
      </c>
      <c r="AA17" s="23">
        <v>3.4</v>
      </c>
      <c r="AB17" s="23" t="s">
        <v>166</v>
      </c>
      <c r="AC17" s="23" t="s">
        <v>231</v>
      </c>
      <c r="AD17" s="23" t="b">
        <v>0</v>
      </c>
      <c r="AE17" s="23">
        <v>0</v>
      </c>
      <c r="AF17" s="25">
        <f t="shared" si="1"/>
        <v>45413</v>
      </c>
      <c r="AG17" s="26" t="str">
        <f>IFERROR(VLOOKUP(AC17,#REF!,2,0),AC17)</f>
        <v>Arekere</v>
      </c>
      <c r="AH17" s="27" t="str">
        <f t="shared" si="2"/>
        <v>Firangi Bake</v>
      </c>
      <c r="AI17" s="28" t="str">
        <f t="shared" si="3"/>
        <v>12.885643</v>
      </c>
      <c r="AJ17" s="29" t="str">
        <f t="shared" si="4"/>
        <v>77.602120</v>
      </c>
      <c r="AK17"/>
    </row>
    <row r="18" spans="1:37">
      <c r="A18" s="22">
        <v>173934793528823</v>
      </c>
      <c r="B18" s="22" t="str">
        <f>_xlfn.XLOOKUP(Table2[[#This Row],[order_id]],swiggy_order_items!A18:A187,swiggy_order_items!B18:B187)</f>
        <v>Dark Chocolate Smoothie Bowl.</v>
      </c>
      <c r="C18" s="22" t="str">
        <f>_xlfn.XLOOKUP(Table2[[#This Row],[name of the food]],swiggy_order_items!B18:B187,swiggy_order_items!E18:E187)</f>
        <v>Veg</v>
      </c>
      <c r="D18" s="23" t="b">
        <v>1</v>
      </c>
      <c r="E18" s="23" t="s">
        <v>153</v>
      </c>
      <c r="F18" s="39">
        <f t="shared" si="0"/>
        <v>23.9</v>
      </c>
      <c r="G18" s="23" t="s">
        <v>257</v>
      </c>
      <c r="H18" s="23" t="s">
        <v>282</v>
      </c>
      <c r="I18" s="23" t="s">
        <v>283</v>
      </c>
      <c r="J18" s="23" t="s">
        <v>157</v>
      </c>
      <c r="K18" s="23" t="s">
        <v>158</v>
      </c>
      <c r="L18" s="23" t="s">
        <v>284</v>
      </c>
      <c r="M18" s="23" t="s">
        <v>191</v>
      </c>
      <c r="N18" s="23" t="s">
        <v>192</v>
      </c>
      <c r="O18" s="23" t="s">
        <v>193</v>
      </c>
      <c r="P18" s="23" t="s">
        <v>194</v>
      </c>
      <c r="Q18" s="23" t="s">
        <v>164</v>
      </c>
      <c r="R18" s="24">
        <v>2470</v>
      </c>
      <c r="S18" s="56">
        <f>Table2[[#This Row],[delivery_time_in_seconds]]/60</f>
        <v>41.166666666666664</v>
      </c>
      <c r="T18" s="23">
        <v>242</v>
      </c>
      <c r="U18" s="23">
        <v>242</v>
      </c>
      <c r="V18" s="23">
        <v>242</v>
      </c>
      <c r="W18" s="23">
        <v>239</v>
      </c>
      <c r="X18" s="23">
        <v>43</v>
      </c>
      <c r="Y18" s="23" t="s">
        <v>195</v>
      </c>
      <c r="Z18" s="23" t="str">
        <f>IF(Table2[[#This Row],[restaurant_customer_distance]]&lt;=2,"0-2 Km",IF(Table2[[#This Row],[restaurant_customer_distance]]&lt;=5,"2-5 Km",IF(Table2[[#This Row],[restaurant_customer_distance]]&lt;=8,"5-8 Km","8+Km")))</f>
        <v>2-5 Km</v>
      </c>
      <c r="AA18" s="23">
        <v>2.5</v>
      </c>
      <c r="AB18" s="23" t="s">
        <v>166</v>
      </c>
      <c r="AC18" s="23" t="s">
        <v>196</v>
      </c>
      <c r="AD18" s="23" t="b">
        <v>0</v>
      </c>
      <c r="AE18" s="23">
        <v>0</v>
      </c>
      <c r="AF18" s="25">
        <f t="shared" si="1"/>
        <v>45413</v>
      </c>
      <c r="AG18" s="26" t="str">
        <f>IFERROR(VLOOKUP(AC18,#REF!,2,0),AC18)</f>
        <v>BTM 2nd Stage</v>
      </c>
      <c r="AH18" s="27" t="str">
        <f t="shared" si="2"/>
        <v>Rasayan</v>
      </c>
      <c r="AI18" s="28" t="str">
        <f t="shared" si="3"/>
        <v>12.907799</v>
      </c>
      <c r="AJ18" s="29" t="str">
        <f t="shared" si="4"/>
        <v>77.613487</v>
      </c>
      <c r="AK18"/>
    </row>
    <row r="19" spans="1:37">
      <c r="A19" s="22">
        <v>173886476249693</v>
      </c>
      <c r="B19" s="22" t="str">
        <f>_xlfn.XLOOKUP(Table2[[#This Row],[order_id]],swiggy_order_items!A19:A188,swiggy_order_items!B19:B188)</f>
        <v>Dark Chocolate Smoothie Bowl.</v>
      </c>
      <c r="C19" s="22" t="str">
        <f>_xlfn.XLOOKUP(Table2[[#This Row],[name of the food]],swiggy_order_items!B19:B188,swiggy_order_items!E19:E188)</f>
        <v>Veg</v>
      </c>
      <c r="D19" s="23" t="b">
        <v>1</v>
      </c>
      <c r="E19" s="23" t="s">
        <v>153</v>
      </c>
      <c r="F19" s="39">
        <f t="shared" si="0"/>
        <v>40</v>
      </c>
      <c r="G19" s="23" t="s">
        <v>285</v>
      </c>
      <c r="H19" s="23" t="s">
        <v>286</v>
      </c>
      <c r="I19" s="23" t="s">
        <v>287</v>
      </c>
      <c r="J19" s="23" t="s">
        <v>157</v>
      </c>
      <c r="K19" s="23" t="s">
        <v>158</v>
      </c>
      <c r="L19" s="23" t="s">
        <v>288</v>
      </c>
      <c r="M19" s="23" t="s">
        <v>191</v>
      </c>
      <c r="N19" s="23" t="s">
        <v>192</v>
      </c>
      <c r="O19" s="23" t="s">
        <v>193</v>
      </c>
      <c r="P19" s="23" t="s">
        <v>194</v>
      </c>
      <c r="Q19" s="23" t="s">
        <v>164</v>
      </c>
      <c r="R19" s="24">
        <v>1594</v>
      </c>
      <c r="S19" s="56">
        <f>Table2[[#This Row],[delivery_time_in_seconds]]/60</f>
        <v>26.566666666666666</v>
      </c>
      <c r="T19" s="23">
        <v>487</v>
      </c>
      <c r="U19" s="23">
        <v>487</v>
      </c>
      <c r="V19" s="23">
        <v>487</v>
      </c>
      <c r="W19" s="23">
        <v>478</v>
      </c>
      <c r="X19" s="23">
        <v>36</v>
      </c>
      <c r="Y19" s="23" t="s">
        <v>195</v>
      </c>
      <c r="Z19" s="23" t="str">
        <f>IF(Table2[[#This Row],[restaurant_customer_distance]]&lt;=2,"0-2 Km",IF(Table2[[#This Row],[restaurant_customer_distance]]&lt;=5,"2-5 Km",IF(Table2[[#This Row],[restaurant_customer_distance]]&lt;=8,"5-8 Km","8+Km")))</f>
        <v>2-5 Km</v>
      </c>
      <c r="AA19" s="23">
        <v>2.5</v>
      </c>
      <c r="AB19" s="23" t="s">
        <v>166</v>
      </c>
      <c r="AC19" s="23" t="s">
        <v>196</v>
      </c>
      <c r="AD19" s="23" t="b">
        <v>1</v>
      </c>
      <c r="AE19" s="23">
        <v>0</v>
      </c>
      <c r="AF19" s="25">
        <f t="shared" si="1"/>
        <v>45413</v>
      </c>
      <c r="AG19" s="26" t="str">
        <f>IFERROR(VLOOKUP(AC19,#REF!,2,0),AC19)</f>
        <v>BTM 2nd Stage</v>
      </c>
      <c r="AH19" s="27" t="str">
        <f t="shared" si="2"/>
        <v>Rasayan</v>
      </c>
      <c r="AI19" s="28" t="str">
        <f t="shared" si="3"/>
        <v>12.907799</v>
      </c>
      <c r="AJ19" s="29" t="str">
        <f t="shared" si="4"/>
        <v>77.613487</v>
      </c>
      <c r="AK19"/>
    </row>
    <row r="20" spans="1:37">
      <c r="A20" s="22">
        <v>173848012476255</v>
      </c>
      <c r="B20" s="22" t="str">
        <f>_xlfn.XLOOKUP(Table2[[#This Row],[order_id]],swiggy_order_items!A20:A189,swiggy_order_items!B20:B189)</f>
        <v>Dark Chocolate Smoothie Bowl.</v>
      </c>
      <c r="C20" s="22" t="str">
        <f>_xlfn.XLOOKUP(Table2[[#This Row],[name of the food]],swiggy_order_items!B20:B189,swiggy_order_items!E20:E189)</f>
        <v>Veg</v>
      </c>
      <c r="D20" s="23" t="b">
        <v>1</v>
      </c>
      <c r="E20" s="23" t="s">
        <v>289</v>
      </c>
      <c r="F20" s="39">
        <f t="shared" si="0"/>
        <v>149.4</v>
      </c>
      <c r="G20" s="23" t="s">
        <v>290</v>
      </c>
      <c r="H20" s="23" t="s">
        <v>291</v>
      </c>
      <c r="I20" s="23" t="s">
        <v>292</v>
      </c>
      <c r="J20" s="23" t="s">
        <v>157</v>
      </c>
      <c r="K20" s="23" t="s">
        <v>158</v>
      </c>
      <c r="L20" s="23" t="s">
        <v>293</v>
      </c>
      <c r="M20" s="23" t="s">
        <v>191</v>
      </c>
      <c r="N20" s="23" t="s">
        <v>192</v>
      </c>
      <c r="O20" s="23" t="s">
        <v>193</v>
      </c>
      <c r="P20" s="23" t="s">
        <v>194</v>
      </c>
      <c r="Q20" s="23" t="s">
        <v>164</v>
      </c>
      <c r="R20" s="24">
        <v>2999</v>
      </c>
      <c r="S20" s="56">
        <f>Table2[[#This Row],[delivery_time_in_seconds]]/60</f>
        <v>49.983333333333334</v>
      </c>
      <c r="T20" s="23">
        <v>392</v>
      </c>
      <c r="U20" s="23">
        <v>392</v>
      </c>
      <c r="V20" s="23">
        <v>392</v>
      </c>
      <c r="W20" s="23">
        <v>498</v>
      </c>
      <c r="X20" s="23">
        <v>43</v>
      </c>
      <c r="Y20" s="23" t="s">
        <v>195</v>
      </c>
      <c r="Z20" s="23" t="str">
        <f>IF(Table2[[#This Row],[restaurant_customer_distance]]&lt;=2,"0-2 Km",IF(Table2[[#This Row],[restaurant_customer_distance]]&lt;=5,"2-5 Km",IF(Table2[[#This Row],[restaurant_customer_distance]]&lt;=8,"5-8 Km","8+Km")))</f>
        <v>2-5 Km</v>
      </c>
      <c r="AA20" s="23">
        <v>2.5</v>
      </c>
      <c r="AB20" s="23" t="s">
        <v>166</v>
      </c>
      <c r="AC20" s="23" t="s">
        <v>196</v>
      </c>
      <c r="AD20" s="23" t="b">
        <v>0</v>
      </c>
      <c r="AE20" s="23">
        <v>0</v>
      </c>
      <c r="AF20" s="25">
        <f t="shared" si="1"/>
        <v>45413</v>
      </c>
      <c r="AG20" s="26" t="str">
        <f>IFERROR(VLOOKUP(AC20,#REF!,2,0),AC20)</f>
        <v>BTM 2nd Stage</v>
      </c>
      <c r="AH20" s="27" t="str">
        <f t="shared" si="2"/>
        <v>Rasayan</v>
      </c>
      <c r="AI20" s="28" t="str">
        <f t="shared" si="3"/>
        <v>12.907799</v>
      </c>
      <c r="AJ20" s="29" t="str">
        <f t="shared" si="4"/>
        <v>77.613487</v>
      </c>
      <c r="AK20"/>
    </row>
    <row r="21" spans="1:37">
      <c r="A21" s="22">
        <v>173787961265182</v>
      </c>
      <c r="B21" s="22" t="str">
        <f>_xlfn.XLOOKUP(Table2[[#This Row],[order_id]],swiggy_order_items!A21:A190,swiggy_order_items!B21:B190)</f>
        <v>Noolputtu (2 Pcs)</v>
      </c>
      <c r="C21" s="22" t="str">
        <f>_xlfn.XLOOKUP(Table2[[#This Row],[name of the food]],swiggy_order_items!B21:B190,swiggy_order_items!E21:E190)</f>
        <v>Veg</v>
      </c>
      <c r="D21" s="23" t="b">
        <v>1</v>
      </c>
      <c r="E21" s="23" t="s">
        <v>252</v>
      </c>
      <c r="F21" s="39">
        <f t="shared" si="0"/>
        <v>44.99</v>
      </c>
      <c r="G21" s="23" t="s">
        <v>294</v>
      </c>
      <c r="H21" s="23" t="s">
        <v>295</v>
      </c>
      <c r="I21" s="23" t="s">
        <v>296</v>
      </c>
      <c r="J21" s="23" t="s">
        <v>157</v>
      </c>
      <c r="K21" s="23" t="s">
        <v>158</v>
      </c>
      <c r="L21" s="23" t="s">
        <v>297</v>
      </c>
      <c r="M21" s="23" t="s">
        <v>226</v>
      </c>
      <c r="N21" s="23" t="s">
        <v>227</v>
      </c>
      <c r="O21" s="23" t="s">
        <v>228</v>
      </c>
      <c r="P21" s="23" t="s">
        <v>229</v>
      </c>
      <c r="Q21" s="23" t="s">
        <v>164</v>
      </c>
      <c r="R21" s="24">
        <v>2684</v>
      </c>
      <c r="S21" s="56">
        <f>Table2[[#This Row],[delivery_time_in_seconds]]/60</f>
        <v>44.733333333333334</v>
      </c>
      <c r="T21" s="23">
        <v>680</v>
      </c>
      <c r="U21" s="23">
        <v>680</v>
      </c>
      <c r="V21" s="23">
        <v>680</v>
      </c>
      <c r="W21" s="23">
        <v>660</v>
      </c>
      <c r="X21" s="23">
        <v>33</v>
      </c>
      <c r="Y21" s="23" t="s">
        <v>230</v>
      </c>
      <c r="Z21" s="23" t="str">
        <f>IF(Table2[[#This Row],[restaurant_customer_distance]]&lt;=2,"0-2 Km",IF(Table2[[#This Row],[restaurant_customer_distance]]&lt;=5,"2-5 Km",IF(Table2[[#This Row],[restaurant_customer_distance]]&lt;=8,"5-8 Km","8+Km")))</f>
        <v>2-5 Km</v>
      </c>
      <c r="AA21" s="23">
        <v>2.7</v>
      </c>
      <c r="AB21" s="23" t="s">
        <v>166</v>
      </c>
      <c r="AC21" s="23" t="s">
        <v>231</v>
      </c>
      <c r="AD21" s="23" t="b">
        <v>1</v>
      </c>
      <c r="AE21" s="23">
        <v>0</v>
      </c>
      <c r="AF21" s="25">
        <f t="shared" si="1"/>
        <v>45413</v>
      </c>
      <c r="AG21" s="26" t="str">
        <f>IFERROR(VLOOKUP(AC21,#REF!,2,0),AC21)</f>
        <v>Arekere</v>
      </c>
      <c r="AH21" s="27" t="str">
        <f t="shared" si="2"/>
        <v>Naalnaad Mane</v>
      </c>
      <c r="AI21" s="28" t="str">
        <f t="shared" si="3"/>
        <v>12.89009167</v>
      </c>
      <c r="AJ21" s="29" t="str">
        <f t="shared" si="4"/>
        <v>77.5976944</v>
      </c>
      <c r="AK21"/>
    </row>
    <row r="22" spans="1:37">
      <c r="A22" s="22">
        <v>173627120783219</v>
      </c>
      <c r="B22" s="22" t="str">
        <f>_xlfn.XLOOKUP(Table2[[#This Row],[order_id]],swiggy_order_items!A22:A191,swiggy_order_items!B22:B191)</f>
        <v>Pressure Cooker Chicken Curry and Homestyle Amritsari Dal Meal</v>
      </c>
      <c r="C22" s="22" t="str">
        <f>_xlfn.XLOOKUP(Table2[[#This Row],[name of the food]],swiggy_order_items!B22:B191,swiggy_order_items!E22:E191)</f>
        <v>Non_Veg</v>
      </c>
      <c r="D22" s="23" t="b">
        <v>1</v>
      </c>
      <c r="E22" s="23" t="s">
        <v>176</v>
      </c>
      <c r="F22" s="39">
        <f t="shared" si="0"/>
        <v>60</v>
      </c>
      <c r="G22" s="23" t="s">
        <v>298</v>
      </c>
      <c r="H22" s="23" t="s">
        <v>299</v>
      </c>
      <c r="I22" s="23" t="s">
        <v>300</v>
      </c>
      <c r="J22" s="23" t="s">
        <v>157</v>
      </c>
      <c r="K22" s="23" t="s">
        <v>158</v>
      </c>
      <c r="L22" s="23" t="s">
        <v>301</v>
      </c>
      <c r="M22" s="23" t="s">
        <v>302</v>
      </c>
      <c r="N22" s="23" t="s">
        <v>303</v>
      </c>
      <c r="O22" s="23" t="s">
        <v>304</v>
      </c>
      <c r="P22" s="23" t="s">
        <v>305</v>
      </c>
      <c r="Q22" s="23" t="s">
        <v>164</v>
      </c>
      <c r="R22" s="24">
        <v>1654</v>
      </c>
      <c r="S22" s="56">
        <f>Table2[[#This Row],[delivery_time_in_seconds]]/60</f>
        <v>27.566666666666666</v>
      </c>
      <c r="T22" s="23">
        <v>214</v>
      </c>
      <c r="U22" s="23">
        <v>214</v>
      </c>
      <c r="V22" s="23">
        <v>214</v>
      </c>
      <c r="W22" s="23">
        <v>239</v>
      </c>
      <c r="X22" s="23">
        <v>54</v>
      </c>
      <c r="Y22" s="23" t="s">
        <v>306</v>
      </c>
      <c r="Z22" s="23" t="str">
        <f>IF(Table2[[#This Row],[restaurant_customer_distance]]&lt;=2,"0-2 Km",IF(Table2[[#This Row],[restaurant_customer_distance]]&lt;=5,"2-5 Km",IF(Table2[[#This Row],[restaurant_customer_distance]]&lt;=8,"5-8 Km","8+Km")))</f>
        <v>0-2 Km</v>
      </c>
      <c r="AA22" s="23">
        <v>1.6</v>
      </c>
      <c r="AB22" s="23" t="s">
        <v>218</v>
      </c>
      <c r="AC22" s="23" t="s">
        <v>163</v>
      </c>
      <c r="AD22" s="23" t="b">
        <v>1</v>
      </c>
      <c r="AE22" s="23">
        <v>2</v>
      </c>
      <c r="AF22" s="25">
        <f t="shared" si="1"/>
        <v>45413</v>
      </c>
      <c r="AG22" s="26" t="str">
        <f>IFERROR(VLOOKUP(AC22,#REF!,2,0),AC22)</f>
        <v>JP Nagar</v>
      </c>
      <c r="AH22" s="27" t="str">
        <f t="shared" si="2"/>
        <v>Homely</v>
      </c>
      <c r="AI22" s="28" t="str">
        <f t="shared" si="3"/>
        <v>12.906291</v>
      </c>
      <c r="AJ22" s="29" t="str">
        <f t="shared" si="4"/>
        <v>77.596256</v>
      </c>
      <c r="AK22"/>
    </row>
    <row r="23" spans="1:37">
      <c r="A23" s="22">
        <v>173528899495632</v>
      </c>
      <c r="B23" s="22" t="str">
        <f>_xlfn.XLOOKUP(Table2[[#This Row],[order_id]],swiggy_order_items!A23:A192,swiggy_order_items!B23:B192)</f>
        <v>Cajun Spiced Fries</v>
      </c>
      <c r="C23" s="22" t="str">
        <f>_xlfn.XLOOKUP(Table2[[#This Row],[name of the food]],swiggy_order_items!B23:B192,swiggy_order_items!E23:E192)</f>
        <v>Veg</v>
      </c>
      <c r="D23" s="23" t="b">
        <v>1</v>
      </c>
      <c r="E23" s="23" t="s">
        <v>252</v>
      </c>
      <c r="F23" s="39">
        <f t="shared" si="0"/>
        <v>99.99</v>
      </c>
      <c r="G23" s="23" t="s">
        <v>307</v>
      </c>
      <c r="H23" s="23" t="s">
        <v>308</v>
      </c>
      <c r="I23" s="23" t="s">
        <v>309</v>
      </c>
      <c r="J23" s="23" t="s">
        <v>157</v>
      </c>
      <c r="K23" s="23" t="s">
        <v>158</v>
      </c>
      <c r="L23" s="23" t="s">
        <v>310</v>
      </c>
      <c r="M23" s="23" t="s">
        <v>160</v>
      </c>
      <c r="N23" s="23" t="s">
        <v>161</v>
      </c>
      <c r="O23" s="23" t="s">
        <v>162</v>
      </c>
      <c r="P23" s="23" t="s">
        <v>163</v>
      </c>
      <c r="Q23" s="23" t="s">
        <v>164</v>
      </c>
      <c r="R23" s="24">
        <v>2161</v>
      </c>
      <c r="S23" s="56">
        <f>Table2[[#This Row],[delivery_time_in_seconds]]/60</f>
        <v>36.016666666666666</v>
      </c>
      <c r="T23" s="23">
        <v>696</v>
      </c>
      <c r="U23" s="23">
        <v>696</v>
      </c>
      <c r="V23" s="23">
        <v>696</v>
      </c>
      <c r="W23" s="23">
        <v>680</v>
      </c>
      <c r="X23" s="23">
        <v>36</v>
      </c>
      <c r="Y23" s="23" t="s">
        <v>165</v>
      </c>
      <c r="Z23" s="23" t="str">
        <f>IF(Table2[[#This Row],[restaurant_customer_distance]]&lt;=2,"0-2 Km",IF(Table2[[#This Row],[restaurant_customer_distance]]&lt;=5,"2-5 Km",IF(Table2[[#This Row],[restaurant_customer_distance]]&lt;=8,"5-8 Km","8+Km")))</f>
        <v>2-5 Km</v>
      </c>
      <c r="AA23" s="23">
        <v>2.1</v>
      </c>
      <c r="AB23" s="23" t="s">
        <v>166</v>
      </c>
      <c r="AC23" s="23" t="s">
        <v>163</v>
      </c>
      <c r="AD23" s="23" t="b">
        <v>0</v>
      </c>
      <c r="AE23" s="23">
        <v>0</v>
      </c>
      <c r="AF23" s="25">
        <f t="shared" si="1"/>
        <v>45413</v>
      </c>
      <c r="AG23" s="26" t="str">
        <f>IFERROR(VLOOKUP(AC23,#REF!,2,0),AC23)</f>
        <v>JP Nagar</v>
      </c>
      <c r="AH23" s="27" t="str">
        <f t="shared" si="2"/>
        <v>Paris Panini</v>
      </c>
      <c r="AI23" s="28" t="str">
        <f t="shared" si="3"/>
        <v>12.90649867</v>
      </c>
      <c r="AJ23" s="29" t="str">
        <f t="shared" si="4"/>
        <v>77.59165435</v>
      </c>
      <c r="AK23"/>
    </row>
    <row r="24" spans="1:37">
      <c r="A24" s="22">
        <v>173508364352211</v>
      </c>
      <c r="B24" s="22" t="str">
        <f>_xlfn.XLOOKUP(Table2[[#This Row],[order_id]],swiggy_order_items!A24:A193,swiggy_order_items!B24:B193)</f>
        <v>Rasayan High Fiber Bowl[ 500gm 250kcals]</v>
      </c>
      <c r="C24" s="22" t="str">
        <f>_xlfn.XLOOKUP(Table2[[#This Row],[name of the food]],swiggy_order_items!B24:B193,swiggy_order_items!E24:E193)</f>
        <v>Veg</v>
      </c>
      <c r="D24" s="23" t="b">
        <v>1</v>
      </c>
      <c r="E24" s="23" t="s">
        <v>289</v>
      </c>
      <c r="F24" s="39">
        <f t="shared" si="0"/>
        <v>148.80000000000001</v>
      </c>
      <c r="G24" s="23" t="s">
        <v>311</v>
      </c>
      <c r="H24" s="23" t="s">
        <v>312</v>
      </c>
      <c r="I24" s="23" t="s">
        <v>313</v>
      </c>
      <c r="J24" s="23" t="s">
        <v>157</v>
      </c>
      <c r="K24" s="23" t="s">
        <v>158</v>
      </c>
      <c r="L24" s="23" t="s">
        <v>314</v>
      </c>
      <c r="M24" s="23" t="s">
        <v>191</v>
      </c>
      <c r="N24" s="23" t="s">
        <v>192</v>
      </c>
      <c r="O24" s="23" t="s">
        <v>193</v>
      </c>
      <c r="P24" s="23" t="s">
        <v>194</v>
      </c>
      <c r="Q24" s="23" t="s">
        <v>164</v>
      </c>
      <c r="R24" s="24">
        <v>2775</v>
      </c>
      <c r="S24" s="56">
        <f>Table2[[#This Row],[delivery_time_in_seconds]]/60</f>
        <v>46.25</v>
      </c>
      <c r="T24" s="23">
        <v>399</v>
      </c>
      <c r="U24" s="23">
        <v>399</v>
      </c>
      <c r="V24" s="23">
        <v>399</v>
      </c>
      <c r="W24" s="23">
        <v>496</v>
      </c>
      <c r="X24" s="23">
        <v>43</v>
      </c>
      <c r="Y24" s="23" t="s">
        <v>195</v>
      </c>
      <c r="Z24" s="23" t="str">
        <f>IF(Table2[[#This Row],[restaurant_customer_distance]]&lt;=2,"0-2 Km",IF(Table2[[#This Row],[restaurant_customer_distance]]&lt;=5,"2-5 Km",IF(Table2[[#This Row],[restaurant_customer_distance]]&lt;=8,"5-8 Km","8+Km")))</f>
        <v>2-5 Km</v>
      </c>
      <c r="AA24" s="23">
        <v>2.5</v>
      </c>
      <c r="AB24" s="23" t="s">
        <v>166</v>
      </c>
      <c r="AC24" s="23" t="s">
        <v>196</v>
      </c>
      <c r="AD24" s="23" t="b">
        <v>0</v>
      </c>
      <c r="AE24" s="23">
        <v>0</v>
      </c>
      <c r="AF24" s="25">
        <f t="shared" si="1"/>
        <v>45413</v>
      </c>
      <c r="AG24" s="26" t="str">
        <f>IFERROR(VLOOKUP(AC24,#REF!,2,0),AC24)</f>
        <v>BTM 2nd Stage</v>
      </c>
      <c r="AH24" s="27" t="str">
        <f t="shared" si="2"/>
        <v>Rasayan</v>
      </c>
      <c r="AI24" s="28" t="str">
        <f t="shared" si="3"/>
        <v>12.907799</v>
      </c>
      <c r="AJ24" s="29" t="str">
        <f t="shared" si="4"/>
        <v>77.613487</v>
      </c>
      <c r="AK24"/>
    </row>
    <row r="25" spans="1:37">
      <c r="A25" s="22">
        <v>173162395766364</v>
      </c>
      <c r="B25" s="22" t="str">
        <f>_xlfn.XLOOKUP(Table2[[#This Row],[order_id]],swiggy_order_items!A25:A194,swiggy_order_items!B25:B194)</f>
        <v>Banana Peanutbutter Overnight Oats [350kcals][20gm protein]</v>
      </c>
      <c r="C25" s="22" t="str">
        <f>_xlfn.XLOOKUP(Table2[[#This Row],[name of the food]],swiggy_order_items!B25:B194,swiggy_order_items!E25:E194)</f>
        <v>Veg</v>
      </c>
      <c r="D25" s="23" t="b">
        <v>1</v>
      </c>
      <c r="E25" s="23" t="s">
        <v>289</v>
      </c>
      <c r="F25" s="39">
        <f t="shared" si="0"/>
        <v>149.99</v>
      </c>
      <c r="G25" s="23" t="s">
        <v>315</v>
      </c>
      <c r="H25" s="23" t="s">
        <v>316</v>
      </c>
      <c r="I25" s="23" t="s">
        <v>317</v>
      </c>
      <c r="J25" s="23" t="s">
        <v>157</v>
      </c>
      <c r="K25" s="23" t="s">
        <v>158</v>
      </c>
      <c r="L25" s="23" t="s">
        <v>318</v>
      </c>
      <c r="M25" s="23" t="s">
        <v>191</v>
      </c>
      <c r="N25" s="23" t="s">
        <v>192</v>
      </c>
      <c r="O25" s="23" t="s">
        <v>193</v>
      </c>
      <c r="P25" s="23" t="s">
        <v>194</v>
      </c>
      <c r="Q25" s="23" t="s">
        <v>164</v>
      </c>
      <c r="R25" s="24">
        <v>2197</v>
      </c>
      <c r="S25" s="56">
        <f>Table2[[#This Row],[delivery_time_in_seconds]]/60</f>
        <v>36.616666666666667</v>
      </c>
      <c r="T25" s="23">
        <v>489</v>
      </c>
      <c r="U25" s="23">
        <v>489</v>
      </c>
      <c r="V25" s="23">
        <v>489</v>
      </c>
      <c r="W25" s="23">
        <v>580</v>
      </c>
      <c r="X25" s="23">
        <v>43</v>
      </c>
      <c r="Y25" s="23" t="s">
        <v>195</v>
      </c>
      <c r="Z25" s="23" t="str">
        <f>IF(Table2[[#This Row],[restaurant_customer_distance]]&lt;=2,"0-2 Km",IF(Table2[[#This Row],[restaurant_customer_distance]]&lt;=5,"2-5 Km",IF(Table2[[#This Row],[restaurant_customer_distance]]&lt;=8,"5-8 Km","8+Km")))</f>
        <v>2-5 Km</v>
      </c>
      <c r="AA25" s="23">
        <v>2.5</v>
      </c>
      <c r="AB25" s="23" t="s">
        <v>166</v>
      </c>
      <c r="AC25" s="23" t="s">
        <v>196</v>
      </c>
      <c r="AD25" s="23" t="b">
        <v>0</v>
      </c>
      <c r="AE25" s="23">
        <v>0</v>
      </c>
      <c r="AF25" s="25">
        <f t="shared" si="1"/>
        <v>45383</v>
      </c>
      <c r="AG25" s="26" t="str">
        <f>IFERROR(VLOOKUP(AC25,#REF!,2,0),AC25)</f>
        <v>BTM 2nd Stage</v>
      </c>
      <c r="AH25" s="27" t="str">
        <f t="shared" si="2"/>
        <v>Rasayan</v>
      </c>
      <c r="AI25" s="28" t="str">
        <f t="shared" si="3"/>
        <v>12.907799</v>
      </c>
      <c r="AJ25" s="29" t="str">
        <f t="shared" si="4"/>
        <v>77.613487</v>
      </c>
      <c r="AK25"/>
    </row>
    <row r="26" spans="1:37">
      <c r="A26" s="22">
        <v>173162271836174</v>
      </c>
      <c r="B26" s="22" t="str">
        <f>_xlfn.XLOOKUP(Table2[[#This Row],[order_id]],swiggy_order_items!A26:A195,swiggy_order_items!B26:B195)</f>
        <v>Midnight Acai Delight [320Kcals] [25Gm-45Gm Protein]</v>
      </c>
      <c r="C26" s="22" t="str">
        <f>_xlfn.XLOOKUP(Table2[[#This Row],[name of the food]],swiggy_order_items!B26:B195,swiggy_order_items!E26:E195)</f>
        <v>Veg</v>
      </c>
      <c r="D26" s="23" t="b">
        <v>0</v>
      </c>
      <c r="E26" s="23" t="s">
        <v>167</v>
      </c>
      <c r="F26" s="39" t="str">
        <f t="shared" si="0"/>
        <v>NO OFFER</v>
      </c>
      <c r="G26" s="23" t="s">
        <v>168</v>
      </c>
      <c r="H26" s="23" t="s">
        <v>319</v>
      </c>
      <c r="I26" s="23" t="s">
        <v>320</v>
      </c>
      <c r="J26" s="23" t="s">
        <v>157</v>
      </c>
      <c r="K26" s="23" t="s">
        <v>321</v>
      </c>
      <c r="L26" s="23">
        <v>0</v>
      </c>
      <c r="M26" s="23" t="s">
        <v>191</v>
      </c>
      <c r="N26" s="23" t="s">
        <v>192</v>
      </c>
      <c r="O26" s="23" t="s">
        <v>193</v>
      </c>
      <c r="P26" s="23" t="s">
        <v>194</v>
      </c>
      <c r="Q26" s="23" t="s">
        <v>164</v>
      </c>
      <c r="R26" s="24">
        <v>0</v>
      </c>
      <c r="S26" s="56">
        <f>Table2[[#This Row],[delivery_time_in_seconds]]/60</f>
        <v>0</v>
      </c>
      <c r="T26" s="23">
        <v>646</v>
      </c>
      <c r="U26" s="23">
        <v>646</v>
      </c>
      <c r="V26" s="23">
        <v>646</v>
      </c>
      <c r="W26" s="23">
        <v>580</v>
      </c>
      <c r="X26" s="23">
        <v>43</v>
      </c>
      <c r="Y26" s="23" t="s">
        <v>195</v>
      </c>
      <c r="Z26" s="23" t="str">
        <f>IF(Table2[[#This Row],[restaurant_customer_distance]]&lt;=2,"0-2 Km",IF(Table2[[#This Row],[restaurant_customer_distance]]&lt;=5,"2-5 Km",IF(Table2[[#This Row],[restaurant_customer_distance]]&lt;=8,"5-8 Km","8+Km")))</f>
        <v>0-2 Km</v>
      </c>
      <c r="AA26" s="23">
        <v>1.9</v>
      </c>
      <c r="AB26" s="23" t="s">
        <v>166</v>
      </c>
      <c r="AC26" s="23" t="s">
        <v>196</v>
      </c>
      <c r="AD26" s="23" t="b">
        <v>0</v>
      </c>
      <c r="AE26" s="23">
        <v>0</v>
      </c>
      <c r="AF26" s="25">
        <f t="shared" si="1"/>
        <v>45383</v>
      </c>
      <c r="AG26" s="26" t="str">
        <f>IFERROR(VLOOKUP(AC26,#REF!,2,0),AC26)</f>
        <v>BTM 2nd Stage</v>
      </c>
      <c r="AH26" s="27" t="str">
        <f t="shared" si="2"/>
        <v>Rasayan</v>
      </c>
      <c r="AI26" s="28" t="str">
        <f t="shared" si="3"/>
        <v>12.907799</v>
      </c>
      <c r="AJ26" s="29" t="str">
        <f t="shared" si="4"/>
        <v>77.613487</v>
      </c>
      <c r="AK26"/>
    </row>
    <row r="27" spans="1:37">
      <c r="A27" s="22">
        <v>173021459533483</v>
      </c>
      <c r="B27" s="22" t="str">
        <f>_xlfn.XLOOKUP(Table2[[#This Row],[order_id]],swiggy_order_items!A27:A196,swiggy_order_items!B27:B196)</f>
        <v>Wok Tossed Hakka Noodles</v>
      </c>
      <c r="C27" s="22" t="str">
        <f>_xlfn.XLOOKUP(Table2[[#This Row],[name of the food]],swiggy_order_items!B27:B196,swiggy_order_items!E27:E196)</f>
        <v>Non_Veg</v>
      </c>
      <c r="D27" s="23" t="b">
        <v>1</v>
      </c>
      <c r="E27" s="23" t="s">
        <v>252</v>
      </c>
      <c r="F27" s="39">
        <f t="shared" si="0"/>
        <v>75</v>
      </c>
      <c r="G27" s="23" t="s">
        <v>322</v>
      </c>
      <c r="H27" s="23" t="s">
        <v>323</v>
      </c>
      <c r="I27" s="23" t="s">
        <v>324</v>
      </c>
      <c r="J27" s="23" t="s">
        <v>157</v>
      </c>
      <c r="K27" s="23" t="s">
        <v>158</v>
      </c>
      <c r="L27" s="23" t="s">
        <v>325</v>
      </c>
      <c r="M27" s="23" t="s">
        <v>326</v>
      </c>
      <c r="N27" s="23" t="s">
        <v>327</v>
      </c>
      <c r="O27" s="23" t="s">
        <v>328</v>
      </c>
      <c r="P27" s="23" t="s">
        <v>329</v>
      </c>
      <c r="Q27" s="23" t="s">
        <v>164</v>
      </c>
      <c r="R27" s="24">
        <v>1950</v>
      </c>
      <c r="S27" s="56">
        <f>Table2[[#This Row],[delivery_time_in_seconds]]/60</f>
        <v>32.5</v>
      </c>
      <c r="T27" s="23">
        <v>208</v>
      </c>
      <c r="U27" s="23">
        <v>208</v>
      </c>
      <c r="V27" s="23">
        <v>208</v>
      </c>
      <c r="W27" s="23">
        <v>260</v>
      </c>
      <c r="X27" s="23">
        <v>40</v>
      </c>
      <c r="Y27" s="23" t="s">
        <v>330</v>
      </c>
      <c r="Z27" s="23" t="str">
        <f>IF(Table2[[#This Row],[restaurant_customer_distance]]&lt;=2,"0-2 Km",IF(Table2[[#This Row],[restaurant_customer_distance]]&lt;=5,"2-5 Km",IF(Table2[[#This Row],[restaurant_customer_distance]]&lt;=8,"5-8 Km","8+Km")))</f>
        <v>2-5 Km</v>
      </c>
      <c r="AA27" s="23">
        <v>3.3</v>
      </c>
      <c r="AB27" s="23" t="s">
        <v>166</v>
      </c>
      <c r="AC27" s="23" t="s">
        <v>331</v>
      </c>
      <c r="AD27" s="23" t="b">
        <v>1</v>
      </c>
      <c r="AE27" s="23">
        <v>0</v>
      </c>
      <c r="AF27" s="25">
        <f t="shared" si="1"/>
        <v>45383</v>
      </c>
      <c r="AG27" s="26" t="str">
        <f>IFERROR(VLOOKUP(AC27,#REF!,2,0),AC27)</f>
        <v>Bellandur</v>
      </c>
      <c r="AH27" s="27" t="str">
        <f t="shared" si="2"/>
        <v>Chowman</v>
      </c>
      <c r="AI27" s="28" t="str">
        <f t="shared" si="3"/>
        <v>12.92314229</v>
      </c>
      <c r="AJ27" s="29" t="str">
        <f t="shared" si="4"/>
        <v>77.6713331</v>
      </c>
      <c r="AK27"/>
    </row>
    <row r="28" spans="1:37">
      <c r="A28" s="22">
        <v>172937451496694</v>
      </c>
      <c r="B28" s="22" t="str">
        <f>_xlfn.XLOOKUP(Table2[[#This Row],[order_id]],swiggy_order_items!A28:A197,swiggy_order_items!B28:B197)</f>
        <v>Hugo (Fried Chicken &amp; Mozza Sandwich)</v>
      </c>
      <c r="C28" s="22" t="str">
        <f>_xlfn.XLOOKUP(Table2[[#This Row],[name of the food]],swiggy_order_items!B28:B197,swiggy_order_items!E28:E197)</f>
        <v>Non_Veg</v>
      </c>
      <c r="D28" s="23" t="b">
        <v>1</v>
      </c>
      <c r="E28" s="23" t="s">
        <v>176</v>
      </c>
      <c r="F28" s="39">
        <f t="shared" si="0"/>
        <v>100</v>
      </c>
      <c r="G28" s="23" t="s">
        <v>332</v>
      </c>
      <c r="H28" s="23" t="s">
        <v>333</v>
      </c>
      <c r="I28" s="23" t="s">
        <v>334</v>
      </c>
      <c r="J28" s="23" t="s">
        <v>157</v>
      </c>
      <c r="K28" s="23" t="s">
        <v>158</v>
      </c>
      <c r="L28" s="23" t="s">
        <v>335</v>
      </c>
      <c r="M28" s="23" t="s">
        <v>336</v>
      </c>
      <c r="N28" s="23" t="s">
        <v>161</v>
      </c>
      <c r="O28" s="23" t="s">
        <v>337</v>
      </c>
      <c r="P28" s="23" t="s">
        <v>338</v>
      </c>
      <c r="Q28" s="23" t="s">
        <v>164</v>
      </c>
      <c r="R28" s="24">
        <v>2384</v>
      </c>
      <c r="S28" s="56">
        <f>Table2[[#This Row],[delivery_time_in_seconds]]/60</f>
        <v>39.733333333333334</v>
      </c>
      <c r="T28" s="23">
        <v>344</v>
      </c>
      <c r="U28" s="23">
        <v>344</v>
      </c>
      <c r="V28" s="23">
        <v>344</v>
      </c>
      <c r="W28" s="23">
        <v>395</v>
      </c>
      <c r="X28" s="23">
        <v>61</v>
      </c>
      <c r="Y28" s="23" t="s">
        <v>339</v>
      </c>
      <c r="Z28" s="23" t="str">
        <f>IF(Table2[[#This Row],[restaurant_customer_distance]]&lt;=2,"0-2 Km",IF(Table2[[#This Row],[restaurant_customer_distance]]&lt;=5,"2-5 Km",IF(Table2[[#This Row],[restaurant_customer_distance]]&lt;=8,"5-8 Km","8+Km")))</f>
        <v>5-8 Km</v>
      </c>
      <c r="AA28" s="23">
        <v>5.4</v>
      </c>
      <c r="AB28" s="23" t="s">
        <v>166</v>
      </c>
      <c r="AC28" s="23" t="s">
        <v>340</v>
      </c>
      <c r="AD28" s="23" t="b">
        <v>1</v>
      </c>
      <c r="AE28" s="23">
        <v>0</v>
      </c>
      <c r="AF28" s="25">
        <f t="shared" si="1"/>
        <v>45383</v>
      </c>
      <c r="AG28" s="26" t="str">
        <f>IFERROR(VLOOKUP(AC28,#REF!,2,0),AC28)</f>
        <v>Bellandur Sarjapur</v>
      </c>
      <c r="AH28" s="27" t="str">
        <f t="shared" si="2"/>
        <v>Paris Panini</v>
      </c>
      <c r="AI28" s="28" t="str">
        <f t="shared" si="3"/>
        <v>12.90906249</v>
      </c>
      <c r="AJ28" s="29" t="str">
        <f t="shared" si="4"/>
        <v>77.68766132</v>
      </c>
      <c r="AK28"/>
    </row>
    <row r="29" spans="1:37">
      <c r="A29" s="22">
        <v>172865582370674</v>
      </c>
      <c r="B29" s="22" t="str">
        <f>_xlfn.XLOOKUP(Table2[[#This Row],[order_id]],swiggy_order_items!A29:A198,swiggy_order_items!B29:B198)</f>
        <v>Belgian Dark Chocolate Milkshake</v>
      </c>
      <c r="C29" s="22" t="str">
        <f>_xlfn.XLOOKUP(Table2[[#This Row],[name of the food]],swiggy_order_items!B29:B198,swiggy_order_items!E29:E198)</f>
        <v>Veg</v>
      </c>
      <c r="D29" s="23" t="b">
        <v>1</v>
      </c>
      <c r="E29" s="23" t="s">
        <v>153</v>
      </c>
      <c r="F29" s="39">
        <f t="shared" si="0"/>
        <v>50</v>
      </c>
      <c r="G29" s="23" t="s">
        <v>341</v>
      </c>
      <c r="H29" s="23" t="s">
        <v>342</v>
      </c>
      <c r="I29" s="23" t="s">
        <v>343</v>
      </c>
      <c r="J29" s="23" t="s">
        <v>157</v>
      </c>
      <c r="K29" s="23" t="s">
        <v>158</v>
      </c>
      <c r="L29" s="23" t="s">
        <v>344</v>
      </c>
      <c r="M29" s="23" t="s">
        <v>345</v>
      </c>
      <c r="N29" s="23" t="s">
        <v>346</v>
      </c>
      <c r="O29" s="23" t="s">
        <v>347</v>
      </c>
      <c r="P29" s="23" t="s">
        <v>240</v>
      </c>
      <c r="Q29" s="23" t="s">
        <v>164</v>
      </c>
      <c r="R29" s="24">
        <v>1985</v>
      </c>
      <c r="S29" s="56">
        <f>Table2[[#This Row],[delivery_time_in_seconds]]/60</f>
        <v>33.083333333333336</v>
      </c>
      <c r="T29" s="23">
        <v>301</v>
      </c>
      <c r="U29" s="23">
        <v>301</v>
      </c>
      <c r="V29" s="23">
        <v>301</v>
      </c>
      <c r="W29" s="23">
        <v>289</v>
      </c>
      <c r="X29" s="23">
        <v>50</v>
      </c>
      <c r="Y29" s="23" t="s">
        <v>348</v>
      </c>
      <c r="Z29" s="23" t="str">
        <f>IF(Table2[[#This Row],[restaurant_customer_distance]]&lt;=2,"0-2 Km",IF(Table2[[#This Row],[restaurant_customer_distance]]&lt;=5,"2-5 Km",IF(Table2[[#This Row],[restaurant_customer_distance]]&lt;=8,"5-8 Km","8+Km")))</f>
        <v>0-2 Km</v>
      </c>
      <c r="AA29" s="23">
        <v>1.7</v>
      </c>
      <c r="AB29" s="23" t="s">
        <v>166</v>
      </c>
      <c r="AC29" s="23" t="s">
        <v>240</v>
      </c>
      <c r="AD29" s="23" t="b">
        <v>1</v>
      </c>
      <c r="AE29" s="23">
        <v>0</v>
      </c>
      <c r="AF29" s="25">
        <f t="shared" si="1"/>
        <v>45383</v>
      </c>
      <c r="AG29" s="26" t="str">
        <f>IFERROR(VLOOKUP(AC29,#REF!,2,0),AC29)</f>
        <v>HSR Layout</v>
      </c>
      <c r="AH29" s="27" t="str">
        <f t="shared" si="2"/>
        <v>Frozen Bottle</v>
      </c>
      <c r="AI29" s="28" t="str">
        <f t="shared" si="3"/>
        <v>12.91233118</v>
      </c>
      <c r="AJ29" s="29" t="str">
        <f t="shared" si="4"/>
        <v>77.63839138</v>
      </c>
      <c r="AK29"/>
    </row>
    <row r="30" spans="1:37">
      <c r="A30" s="22">
        <v>172849812190412</v>
      </c>
      <c r="B30" s="22" t="str">
        <f>_xlfn.XLOOKUP(Table2[[#This Row],[order_id]],swiggy_order_items!A30:A199,swiggy_order_items!B30:B199)</f>
        <v>Chicken Kheema Lasagne</v>
      </c>
      <c r="C30" s="22" t="str">
        <f>_xlfn.XLOOKUP(Table2[[#This Row],[name of the food]],swiggy_order_items!B30:B199,swiggy_order_items!E30:E199)</f>
        <v>Non_Veg</v>
      </c>
      <c r="D30" s="23" t="b">
        <v>1</v>
      </c>
      <c r="E30" s="23" t="s">
        <v>252</v>
      </c>
      <c r="F30" s="39">
        <f t="shared" si="0"/>
        <v>60</v>
      </c>
      <c r="G30" s="23" t="s">
        <v>349</v>
      </c>
      <c r="H30" s="23" t="s">
        <v>350</v>
      </c>
      <c r="I30" s="23" t="s">
        <v>351</v>
      </c>
      <c r="J30" s="23" t="s">
        <v>157</v>
      </c>
      <c r="K30" s="23" t="s">
        <v>158</v>
      </c>
      <c r="L30" s="23" t="s">
        <v>352</v>
      </c>
      <c r="M30" s="23" t="s">
        <v>353</v>
      </c>
      <c r="N30" s="23" t="s">
        <v>203</v>
      </c>
      <c r="O30" s="23" t="s">
        <v>354</v>
      </c>
      <c r="P30" s="23" t="s">
        <v>355</v>
      </c>
      <c r="Q30" s="23" t="s">
        <v>164</v>
      </c>
      <c r="R30" s="24">
        <v>1375</v>
      </c>
      <c r="S30" s="56">
        <f>Table2[[#This Row],[delivery_time_in_seconds]]/60</f>
        <v>22.916666666666668</v>
      </c>
      <c r="T30" s="23">
        <v>310</v>
      </c>
      <c r="U30" s="23">
        <v>310</v>
      </c>
      <c r="V30" s="23">
        <v>310</v>
      </c>
      <c r="W30" s="23">
        <v>325</v>
      </c>
      <c r="X30" s="23">
        <v>35</v>
      </c>
      <c r="Y30" s="23" t="s">
        <v>356</v>
      </c>
      <c r="Z30" s="23" t="str">
        <f>IF(Table2[[#This Row],[restaurant_customer_distance]]&lt;=2,"0-2 Km",IF(Table2[[#This Row],[restaurant_customer_distance]]&lt;=5,"2-5 Km",IF(Table2[[#This Row],[restaurant_customer_distance]]&lt;=8,"5-8 Km","8+Km")))</f>
        <v>0-2 Km</v>
      </c>
      <c r="AA30" s="23">
        <v>0.8</v>
      </c>
      <c r="AB30" s="23" t="s">
        <v>166</v>
      </c>
      <c r="AC30" s="23" t="s">
        <v>240</v>
      </c>
      <c r="AD30" s="23" t="b">
        <v>0</v>
      </c>
      <c r="AE30" s="23">
        <v>0</v>
      </c>
      <c r="AF30" s="25">
        <f t="shared" si="1"/>
        <v>45383</v>
      </c>
      <c r="AG30" s="26" t="str">
        <f>IFERROR(VLOOKUP(AC30,#REF!,2,0),AC30)</f>
        <v>HSR Layout</v>
      </c>
      <c r="AH30" s="27" t="str">
        <f t="shared" si="2"/>
        <v>Firangi Bake</v>
      </c>
      <c r="AI30" s="28" t="str">
        <f t="shared" si="3"/>
        <v>12.912101</v>
      </c>
      <c r="AJ30" s="29" t="str">
        <f t="shared" si="4"/>
        <v>77.65163400000006</v>
      </c>
      <c r="AK30"/>
    </row>
    <row r="31" spans="1:37">
      <c r="A31" s="22">
        <v>172765721740638</v>
      </c>
      <c r="B31" s="22" t="str">
        <f>_xlfn.XLOOKUP(Table2[[#This Row],[order_id]],swiggy_order_items!A31:A200,swiggy_order_items!B31:B200)</f>
        <v>Chicken Fillet Burger Combo</v>
      </c>
      <c r="C31" s="22" t="str">
        <f>_xlfn.XLOOKUP(Table2[[#This Row],[name of the food]],swiggy_order_items!B31:B200,swiggy_order_items!E31:E200)</f>
        <v>Non_Veg</v>
      </c>
      <c r="D31" s="23" t="b">
        <v>1</v>
      </c>
      <c r="E31" s="23" t="s">
        <v>208</v>
      </c>
      <c r="F31" s="39">
        <f t="shared" si="0"/>
        <v>150</v>
      </c>
      <c r="G31" s="23" t="s">
        <v>357</v>
      </c>
      <c r="H31" s="23" t="s">
        <v>358</v>
      </c>
      <c r="I31" s="23" t="s">
        <v>359</v>
      </c>
      <c r="J31" s="23" t="s">
        <v>157</v>
      </c>
      <c r="K31" s="23" t="s">
        <v>158</v>
      </c>
      <c r="L31" s="23" t="s">
        <v>360</v>
      </c>
      <c r="M31" s="23" t="s">
        <v>361</v>
      </c>
      <c r="N31" s="23" t="s">
        <v>362</v>
      </c>
      <c r="O31" s="23" t="s">
        <v>363</v>
      </c>
      <c r="P31" s="23" t="s">
        <v>240</v>
      </c>
      <c r="Q31" s="23" t="s">
        <v>164</v>
      </c>
      <c r="R31" s="24">
        <v>1703</v>
      </c>
      <c r="S31" s="56">
        <f>Table2[[#This Row],[delivery_time_in_seconds]]/60</f>
        <v>28.383333333333333</v>
      </c>
      <c r="T31" s="23">
        <v>724</v>
      </c>
      <c r="U31" s="23">
        <v>724</v>
      </c>
      <c r="V31" s="23">
        <v>724</v>
      </c>
      <c r="W31" s="23">
        <v>797.57</v>
      </c>
      <c r="X31" s="23">
        <v>35</v>
      </c>
      <c r="Y31" s="23" t="s">
        <v>364</v>
      </c>
      <c r="Z31" s="23" t="str">
        <f>IF(Table2[[#This Row],[restaurant_customer_distance]]&lt;=2,"0-2 Km",IF(Table2[[#This Row],[restaurant_customer_distance]]&lt;=5,"2-5 Km",IF(Table2[[#This Row],[restaurant_customer_distance]]&lt;=8,"5-8 Km","8+Km")))</f>
        <v>0-2 Km</v>
      </c>
      <c r="AA31" s="23">
        <v>1.6</v>
      </c>
      <c r="AB31" s="23" t="s">
        <v>166</v>
      </c>
      <c r="AC31" s="23" t="s">
        <v>240</v>
      </c>
      <c r="AD31" s="23" t="b">
        <v>0</v>
      </c>
      <c r="AE31" s="23">
        <v>0</v>
      </c>
      <c r="AF31" s="25">
        <f t="shared" si="1"/>
        <v>45383</v>
      </c>
      <c r="AG31" s="26" t="str">
        <f>IFERROR(VLOOKUP(AC31,#REF!,2,0),AC31)</f>
        <v>HSR Layout</v>
      </c>
      <c r="AH31" s="27" t="str">
        <f t="shared" si="2"/>
        <v>Leon's</v>
      </c>
      <c r="AI31" s="28" t="str">
        <f t="shared" si="3"/>
        <v>12.91181131</v>
      </c>
      <c r="AJ31" s="29" t="str">
        <f t="shared" si="4"/>
        <v>77.64374963</v>
      </c>
      <c r="AK31"/>
    </row>
    <row r="32" spans="1:37">
      <c r="A32" s="22">
        <v>172415621290914</v>
      </c>
      <c r="B32" s="22" t="str">
        <f>_xlfn.XLOOKUP(Table2[[#This Row],[order_id]],swiggy_order_items!A32:A201,swiggy_order_items!B32:B201)</f>
        <v>Single Lamb Cheese Burger</v>
      </c>
      <c r="C32" s="22" t="str">
        <f>_xlfn.XLOOKUP(Table2[[#This Row],[name of the food]],swiggy_order_items!B32:B201,swiggy_order_items!E32:E201)</f>
        <v>Non_Veg</v>
      </c>
      <c r="D32" s="23" t="b">
        <v>1</v>
      </c>
      <c r="E32" s="23" t="s">
        <v>208</v>
      </c>
      <c r="F32" s="39">
        <f t="shared" si="0"/>
        <v>150</v>
      </c>
      <c r="G32" s="23" t="s">
        <v>365</v>
      </c>
      <c r="H32" s="23" t="s">
        <v>366</v>
      </c>
      <c r="I32" s="23" t="s">
        <v>367</v>
      </c>
      <c r="J32" s="23" t="s">
        <v>157</v>
      </c>
      <c r="K32" s="23" t="s">
        <v>158</v>
      </c>
      <c r="L32" s="23" t="s">
        <v>368</v>
      </c>
      <c r="M32" s="23" t="s">
        <v>361</v>
      </c>
      <c r="N32" s="23" t="s">
        <v>362</v>
      </c>
      <c r="O32" s="23" t="s">
        <v>363</v>
      </c>
      <c r="P32" s="23" t="s">
        <v>240</v>
      </c>
      <c r="Q32" s="23" t="s">
        <v>164</v>
      </c>
      <c r="R32" s="24">
        <v>1726</v>
      </c>
      <c r="S32" s="56">
        <f>Table2[[#This Row],[delivery_time_in_seconds]]/60</f>
        <v>28.766666666666666</v>
      </c>
      <c r="T32" s="23">
        <v>252</v>
      </c>
      <c r="U32" s="23">
        <v>252</v>
      </c>
      <c r="V32" s="23">
        <v>252</v>
      </c>
      <c r="W32" s="23">
        <v>349</v>
      </c>
      <c r="X32" s="23">
        <v>31</v>
      </c>
      <c r="Y32" s="23" t="s">
        <v>364</v>
      </c>
      <c r="Z32" s="23" t="str">
        <f>IF(Table2[[#This Row],[restaurant_customer_distance]]&lt;=2,"0-2 Km",IF(Table2[[#This Row],[restaurant_customer_distance]]&lt;=5,"2-5 Km",IF(Table2[[#This Row],[restaurant_customer_distance]]&lt;=8,"5-8 Km","8+Km")))</f>
        <v>0-2 Km</v>
      </c>
      <c r="AA32" s="23">
        <v>0.9</v>
      </c>
      <c r="AB32" s="23" t="s">
        <v>166</v>
      </c>
      <c r="AC32" s="23" t="s">
        <v>240</v>
      </c>
      <c r="AD32" s="23" t="b">
        <v>1</v>
      </c>
      <c r="AE32" s="23">
        <v>0</v>
      </c>
      <c r="AF32" s="25">
        <f t="shared" si="1"/>
        <v>45383</v>
      </c>
      <c r="AG32" s="26" t="str">
        <f>IFERROR(VLOOKUP(AC32,#REF!,2,0),AC32)</f>
        <v>HSR Layout</v>
      </c>
      <c r="AH32" s="27" t="str">
        <f t="shared" si="2"/>
        <v>Leon's</v>
      </c>
      <c r="AI32" s="28" t="str">
        <f t="shared" si="3"/>
        <v>12.91181131</v>
      </c>
      <c r="AJ32" s="29" t="str">
        <f t="shared" si="4"/>
        <v>77.64374963</v>
      </c>
      <c r="AK32"/>
    </row>
    <row r="33" spans="1:37">
      <c r="A33" s="22">
        <v>171120236353593</v>
      </c>
      <c r="B33" s="22" t="str">
        <f>_xlfn.XLOOKUP(Table2[[#This Row],[order_id]],swiggy_order_items!A33:A202,swiggy_order_items!B33:B202)</f>
        <v>Single Lamb Cheese Burger</v>
      </c>
      <c r="C33" s="22" t="str">
        <f>_xlfn.XLOOKUP(Table2[[#This Row],[name of the food]],swiggy_order_items!B33:B202,swiggy_order_items!E33:E202)</f>
        <v>Non_Veg</v>
      </c>
      <c r="D33" s="23" t="b">
        <v>1</v>
      </c>
      <c r="E33" s="23" t="s">
        <v>208</v>
      </c>
      <c r="F33" s="39">
        <f t="shared" si="0"/>
        <v>150</v>
      </c>
      <c r="G33" s="23" t="s">
        <v>365</v>
      </c>
      <c r="H33" s="23" t="s">
        <v>369</v>
      </c>
      <c r="I33" s="23" t="s">
        <v>370</v>
      </c>
      <c r="J33" s="23" t="s">
        <v>157</v>
      </c>
      <c r="K33" s="23" t="s">
        <v>158</v>
      </c>
      <c r="L33" s="23" t="s">
        <v>371</v>
      </c>
      <c r="M33" s="23" t="s">
        <v>361</v>
      </c>
      <c r="N33" s="23" t="s">
        <v>362</v>
      </c>
      <c r="O33" s="23" t="s">
        <v>363</v>
      </c>
      <c r="P33" s="23" t="s">
        <v>240</v>
      </c>
      <c r="Q33" s="23" t="s">
        <v>164</v>
      </c>
      <c r="R33" s="24">
        <v>836</v>
      </c>
      <c r="S33" s="56">
        <f>Table2[[#This Row],[delivery_time_in_seconds]]/60</f>
        <v>13.933333333333334</v>
      </c>
      <c r="T33" s="23">
        <v>252</v>
      </c>
      <c r="U33" s="23">
        <v>252</v>
      </c>
      <c r="V33" s="23">
        <v>252</v>
      </c>
      <c r="W33" s="23">
        <v>349</v>
      </c>
      <c r="X33" s="23">
        <v>29</v>
      </c>
      <c r="Y33" s="23" t="s">
        <v>364</v>
      </c>
      <c r="Z33" s="23" t="str">
        <f>IF(Table2[[#This Row],[restaurant_customer_distance]]&lt;=2,"0-2 Km",IF(Table2[[#This Row],[restaurant_customer_distance]]&lt;=5,"2-5 Km",IF(Table2[[#This Row],[restaurant_customer_distance]]&lt;=8,"5-8 Km","8+Km")))</f>
        <v>0-2 Km</v>
      </c>
      <c r="AA33" s="23">
        <v>0.2</v>
      </c>
      <c r="AB33" s="23" t="s">
        <v>166</v>
      </c>
      <c r="AC33" s="23" t="s">
        <v>240</v>
      </c>
      <c r="AD33" s="23" t="b">
        <v>1</v>
      </c>
      <c r="AE33" s="23">
        <v>0</v>
      </c>
      <c r="AF33" s="25">
        <f t="shared" si="1"/>
        <v>45383</v>
      </c>
      <c r="AG33" s="26" t="str">
        <f>IFERROR(VLOOKUP(AC33,#REF!,2,0),AC33)</f>
        <v>HSR Layout</v>
      </c>
      <c r="AH33" s="27" t="str">
        <f t="shared" si="2"/>
        <v>Leon's</v>
      </c>
      <c r="AI33" s="28" t="str">
        <f t="shared" si="3"/>
        <v>12.91181131</v>
      </c>
      <c r="AJ33" s="29" t="str">
        <f t="shared" si="4"/>
        <v>77.64374963</v>
      </c>
      <c r="AK33"/>
    </row>
    <row r="34" spans="1:37">
      <c r="A34" s="22">
        <v>170949181342493</v>
      </c>
      <c r="B34" s="22" t="str">
        <f>_xlfn.XLOOKUP(Table2[[#This Row],[order_id]],swiggy_order_items!A34:A203,swiggy_order_items!B34:B203)</f>
        <v>Single Lamb Cheese Burger</v>
      </c>
      <c r="C34" s="22" t="str">
        <f>_xlfn.XLOOKUP(Table2[[#This Row],[name of the food]],swiggy_order_items!B34:B203,swiggy_order_items!E34:E203)</f>
        <v>Non_Veg</v>
      </c>
      <c r="D34" s="23" t="b">
        <v>1</v>
      </c>
      <c r="E34" s="23" t="s">
        <v>208</v>
      </c>
      <c r="F34" s="39">
        <f t="shared" ref="F34:F65" si="5">IFERROR(TRUNC((_xlfn.TEXTBEFORE(_xlfn.TEXTAFTER(G34,"""total_offer_discount"":"),",")),2),"NO OFFER")</f>
        <v>150</v>
      </c>
      <c r="G34" s="23" t="s">
        <v>365</v>
      </c>
      <c r="H34" s="23" t="s">
        <v>372</v>
      </c>
      <c r="I34" s="23" t="s">
        <v>373</v>
      </c>
      <c r="J34" s="23" t="s">
        <v>157</v>
      </c>
      <c r="K34" s="23" t="s">
        <v>158</v>
      </c>
      <c r="L34" s="23" t="s">
        <v>374</v>
      </c>
      <c r="M34" s="23" t="s">
        <v>361</v>
      </c>
      <c r="N34" s="23" t="s">
        <v>362</v>
      </c>
      <c r="O34" s="23" t="s">
        <v>363</v>
      </c>
      <c r="P34" s="23" t="s">
        <v>240</v>
      </c>
      <c r="Q34" s="23" t="s">
        <v>164</v>
      </c>
      <c r="R34" s="24">
        <v>2224</v>
      </c>
      <c r="S34" s="56">
        <f>Table2[[#This Row],[delivery_time_in_seconds]]/60</f>
        <v>37.06666666666667</v>
      </c>
      <c r="T34" s="23">
        <v>252</v>
      </c>
      <c r="U34" s="23">
        <v>252</v>
      </c>
      <c r="V34" s="23">
        <v>252</v>
      </c>
      <c r="W34" s="23">
        <v>349</v>
      </c>
      <c r="X34" s="23">
        <v>34</v>
      </c>
      <c r="Y34" s="23" t="s">
        <v>364</v>
      </c>
      <c r="Z34" s="23" t="str">
        <f>IF(Table2[[#This Row],[restaurant_customer_distance]]&lt;=2,"0-2 Km",IF(Table2[[#This Row],[restaurant_customer_distance]]&lt;=5,"2-5 Km",IF(Table2[[#This Row],[restaurant_customer_distance]]&lt;=8,"5-8 Km","8+Km")))</f>
        <v>0-2 Km</v>
      </c>
      <c r="AA34" s="23">
        <v>1.6</v>
      </c>
      <c r="AB34" s="23" t="s">
        <v>218</v>
      </c>
      <c r="AC34" s="23" t="s">
        <v>240</v>
      </c>
      <c r="AD34" s="23" t="b">
        <v>0</v>
      </c>
      <c r="AE34" s="23">
        <v>0</v>
      </c>
      <c r="AF34" s="25">
        <f t="shared" ref="AF34:AF65" si="6">EOMONTH(H34,-1)+1</f>
        <v>45383</v>
      </c>
      <c r="AG34" s="26" t="str">
        <f>IFERROR(VLOOKUP(AC34,#REF!,2,0),AC34)</f>
        <v>HSR Layout</v>
      </c>
      <c r="AH34" s="27" t="str">
        <f t="shared" ref="AH34:AH65" si="7">IFERROR(TRIM(_xlfn.TEXTBEFORE(N34,"-")),N34)</f>
        <v>Leon's</v>
      </c>
      <c r="AI34" s="28" t="str">
        <f t="shared" si="3"/>
        <v>12.91181131</v>
      </c>
      <c r="AJ34" s="29" t="str">
        <f t="shared" si="4"/>
        <v>77.64374963</v>
      </c>
      <c r="AK34"/>
    </row>
    <row r="35" spans="1:37">
      <c r="A35" s="22">
        <v>170849767634192</v>
      </c>
      <c r="B35" s="22" t="str">
        <f>_xlfn.XLOOKUP(Table2[[#This Row],[order_id]],swiggy_order_items!A35:A204,swiggy_order_items!B35:B204)</f>
        <v>Single Lamb Cheese Burger</v>
      </c>
      <c r="C35" s="22" t="str">
        <f>_xlfn.XLOOKUP(Table2[[#This Row],[name of the food]],swiggy_order_items!B35:B204,swiggy_order_items!E35:E204)</f>
        <v>Non_Veg</v>
      </c>
      <c r="D35" s="23" t="b">
        <v>1</v>
      </c>
      <c r="E35" s="23" t="s">
        <v>208</v>
      </c>
      <c r="F35" s="39">
        <f t="shared" si="5"/>
        <v>150</v>
      </c>
      <c r="G35" s="23" t="s">
        <v>365</v>
      </c>
      <c r="H35" s="23" t="s">
        <v>375</v>
      </c>
      <c r="I35" s="23" t="s">
        <v>376</v>
      </c>
      <c r="J35" s="23" t="s">
        <v>157</v>
      </c>
      <c r="K35" s="23" t="s">
        <v>158</v>
      </c>
      <c r="L35" s="23" t="s">
        <v>377</v>
      </c>
      <c r="M35" s="23" t="s">
        <v>361</v>
      </c>
      <c r="N35" s="23" t="s">
        <v>362</v>
      </c>
      <c r="O35" s="23" t="s">
        <v>363</v>
      </c>
      <c r="P35" s="23" t="s">
        <v>240</v>
      </c>
      <c r="Q35" s="23" t="s">
        <v>164</v>
      </c>
      <c r="R35" s="24">
        <v>854</v>
      </c>
      <c r="S35" s="56">
        <f>Table2[[#This Row],[delivery_time_in_seconds]]/60</f>
        <v>14.233333333333333</v>
      </c>
      <c r="T35" s="23">
        <v>252</v>
      </c>
      <c r="U35" s="23">
        <v>252</v>
      </c>
      <c r="V35" s="23">
        <v>252</v>
      </c>
      <c r="W35" s="23">
        <v>349</v>
      </c>
      <c r="X35" s="23">
        <v>30</v>
      </c>
      <c r="Y35" s="23" t="s">
        <v>364</v>
      </c>
      <c r="Z35" s="23" t="str">
        <f>IF(Table2[[#This Row],[restaurant_customer_distance]]&lt;=2,"0-2 Km",IF(Table2[[#This Row],[restaurant_customer_distance]]&lt;=5,"2-5 Km",IF(Table2[[#This Row],[restaurant_customer_distance]]&lt;=8,"5-8 Km","8+Km")))</f>
        <v>0-2 Km</v>
      </c>
      <c r="AA35" s="23">
        <v>1.6</v>
      </c>
      <c r="AB35" s="23" t="s">
        <v>166</v>
      </c>
      <c r="AC35" s="23" t="s">
        <v>240</v>
      </c>
      <c r="AD35" s="23" t="b">
        <v>1</v>
      </c>
      <c r="AE35" s="23">
        <v>0</v>
      </c>
      <c r="AF35" s="25">
        <f t="shared" si="6"/>
        <v>45352</v>
      </c>
      <c r="AG35" s="26" t="str">
        <f>IFERROR(VLOOKUP(AC35,#REF!,2,0),AC35)</f>
        <v>HSR Layout</v>
      </c>
      <c r="AH35" s="27" t="str">
        <f t="shared" si="7"/>
        <v>Leon's</v>
      </c>
      <c r="AI35" s="28" t="str">
        <f t="shared" si="3"/>
        <v>12.91181131</v>
      </c>
      <c r="AJ35" s="29" t="str">
        <f t="shared" si="4"/>
        <v>77.64374963</v>
      </c>
      <c r="AK35"/>
    </row>
    <row r="36" spans="1:37">
      <c r="A36" s="22">
        <v>170326417874188</v>
      </c>
      <c r="B36" s="22" t="str">
        <f>_xlfn.XLOOKUP(Table2[[#This Row],[order_id]],swiggy_order_items!A36:A205,swiggy_order_items!B36:B205)</f>
        <v>Roasted Chicken Strip Sandwich</v>
      </c>
      <c r="C36" s="22" t="str">
        <f>_xlfn.XLOOKUP(Table2[[#This Row],[name of the food]],swiggy_order_items!B36:B205,swiggy_order_items!E36:E205)</f>
        <v>Non_Veg</v>
      </c>
      <c r="D36" s="23" t="b">
        <v>1</v>
      </c>
      <c r="E36" s="23" t="s">
        <v>153</v>
      </c>
      <c r="F36" s="39">
        <f t="shared" si="5"/>
        <v>80</v>
      </c>
      <c r="G36" s="23" t="s">
        <v>378</v>
      </c>
      <c r="H36" s="23" t="s">
        <v>379</v>
      </c>
      <c r="I36" s="23" t="s">
        <v>380</v>
      </c>
      <c r="J36" s="23" t="s">
        <v>157</v>
      </c>
      <c r="K36" s="23" t="s">
        <v>158</v>
      </c>
      <c r="L36" s="23" t="s">
        <v>381</v>
      </c>
      <c r="M36" s="23" t="s">
        <v>382</v>
      </c>
      <c r="N36" s="23" t="s">
        <v>383</v>
      </c>
      <c r="O36" s="23" t="s">
        <v>384</v>
      </c>
      <c r="P36" s="23" t="s">
        <v>238</v>
      </c>
      <c r="Q36" s="23" t="s">
        <v>164</v>
      </c>
      <c r="R36" s="24">
        <v>779</v>
      </c>
      <c r="S36" s="56">
        <f>Table2[[#This Row],[delivery_time_in_seconds]]/60</f>
        <v>12.983333333333333</v>
      </c>
      <c r="T36" s="23">
        <v>252</v>
      </c>
      <c r="U36" s="23">
        <v>252</v>
      </c>
      <c r="V36" s="23">
        <v>252</v>
      </c>
      <c r="W36" s="23">
        <v>300</v>
      </c>
      <c r="X36" s="23">
        <v>32</v>
      </c>
      <c r="Y36" s="23" t="s">
        <v>385</v>
      </c>
      <c r="Z36" s="23" t="str">
        <f>IF(Table2[[#This Row],[restaurant_customer_distance]]&lt;=2,"0-2 Km",IF(Table2[[#This Row],[restaurant_customer_distance]]&lt;=5,"2-5 Km",IF(Table2[[#This Row],[restaurant_customer_distance]]&lt;=8,"5-8 Km","8+Km")))</f>
        <v>0-2 Km</v>
      </c>
      <c r="AA36" s="23">
        <v>0.6</v>
      </c>
      <c r="AB36" s="23" t="s">
        <v>166</v>
      </c>
      <c r="AC36" s="23" t="s">
        <v>386</v>
      </c>
      <c r="AD36" s="23" t="b">
        <v>1</v>
      </c>
      <c r="AE36" s="23">
        <v>0</v>
      </c>
      <c r="AF36" s="25">
        <f t="shared" si="6"/>
        <v>45352</v>
      </c>
      <c r="AG36" s="26" t="str">
        <f>IFERROR(VLOOKUP(AC36,#REF!,2,0),AC36)</f>
        <v>Hsr Layout</v>
      </c>
      <c r="AH36" s="27" t="str">
        <f t="shared" si="7"/>
        <v>Subway</v>
      </c>
      <c r="AI36" s="28" t="str">
        <f t="shared" si="3"/>
        <v>12.9118135</v>
      </c>
      <c r="AJ36" s="29" t="str">
        <f t="shared" si="4"/>
        <v>77.637958</v>
      </c>
      <c r="AK36"/>
    </row>
    <row r="37" spans="1:37">
      <c r="A37" s="22">
        <v>169997934599848</v>
      </c>
      <c r="B37" s="22" t="str">
        <f>_xlfn.XLOOKUP(Table2[[#This Row],[order_id]],swiggy_order_items!A37:A206,swiggy_order_items!B37:B206)</f>
        <v>Roasted Chicken Strip Sandwich</v>
      </c>
      <c r="C37" s="22" t="str">
        <f>_xlfn.XLOOKUP(Table2[[#This Row],[name of the food]],swiggy_order_items!B37:B206,swiggy_order_items!E37:E206)</f>
        <v>Non_Veg</v>
      </c>
      <c r="D37" s="23" t="b">
        <v>1</v>
      </c>
      <c r="E37" s="23" t="s">
        <v>387</v>
      </c>
      <c r="F37" s="39">
        <f t="shared" si="5"/>
        <v>99.99</v>
      </c>
      <c r="G37" s="23" t="s">
        <v>388</v>
      </c>
      <c r="H37" s="23" t="s">
        <v>389</v>
      </c>
      <c r="I37" s="23" t="s">
        <v>390</v>
      </c>
      <c r="J37" s="23" t="s">
        <v>157</v>
      </c>
      <c r="K37" s="23" t="s">
        <v>158</v>
      </c>
      <c r="L37" s="23" t="s">
        <v>391</v>
      </c>
      <c r="M37" s="23" t="s">
        <v>382</v>
      </c>
      <c r="N37" s="23" t="s">
        <v>383</v>
      </c>
      <c r="O37" s="23" t="s">
        <v>384</v>
      </c>
      <c r="P37" s="23" t="s">
        <v>238</v>
      </c>
      <c r="Q37" s="23" t="s">
        <v>164</v>
      </c>
      <c r="R37" s="24">
        <v>2901</v>
      </c>
      <c r="S37" s="56">
        <f>Table2[[#This Row],[delivery_time_in_seconds]]/60</f>
        <v>48.35</v>
      </c>
      <c r="T37" s="23">
        <v>596</v>
      </c>
      <c r="U37" s="23">
        <v>596</v>
      </c>
      <c r="V37" s="23">
        <v>596</v>
      </c>
      <c r="W37" s="23">
        <v>649</v>
      </c>
      <c r="X37" s="23">
        <v>34</v>
      </c>
      <c r="Y37" s="23" t="s">
        <v>385</v>
      </c>
      <c r="Z37" s="23" t="str">
        <f>IF(Table2[[#This Row],[restaurant_customer_distance]]&lt;=2,"0-2 Km",IF(Table2[[#This Row],[restaurant_customer_distance]]&lt;=5,"2-5 Km",IF(Table2[[#This Row],[restaurant_customer_distance]]&lt;=8,"5-8 Km","8+Km")))</f>
        <v>0-2 Km</v>
      </c>
      <c r="AA37" s="23">
        <v>1.9</v>
      </c>
      <c r="AB37" s="23" t="s">
        <v>166</v>
      </c>
      <c r="AC37" s="23" t="s">
        <v>386</v>
      </c>
      <c r="AD37" s="23" t="b">
        <v>0</v>
      </c>
      <c r="AE37" s="23">
        <v>0</v>
      </c>
      <c r="AF37" s="25">
        <f t="shared" si="6"/>
        <v>45352</v>
      </c>
      <c r="AG37" s="26" t="str">
        <f>IFERROR(VLOOKUP(AC37,#REF!,2,0),AC37)</f>
        <v>Hsr Layout</v>
      </c>
      <c r="AH37" s="27" t="str">
        <f t="shared" si="7"/>
        <v>Subway</v>
      </c>
      <c r="AI37" s="28" t="str">
        <f t="shared" si="3"/>
        <v>12.9118135</v>
      </c>
      <c r="AJ37" s="29" t="str">
        <f t="shared" si="4"/>
        <v>77.637958</v>
      </c>
      <c r="AK37"/>
    </row>
    <row r="38" spans="1:37">
      <c r="A38" s="22">
        <v>169054716176265</v>
      </c>
      <c r="B38" s="22" t="str">
        <f>_xlfn.XLOOKUP(Table2[[#This Row],[order_id]],swiggy_order_items!A38:A207,swiggy_order_items!B38:B207)</f>
        <v>Roasted Chicken Strip Sandwich</v>
      </c>
      <c r="C38" s="22" t="str">
        <f>_xlfn.XLOOKUP(Table2[[#This Row],[name of the food]],swiggy_order_items!B38:B207,swiggy_order_items!E38:E207)</f>
        <v>Non_Veg</v>
      </c>
      <c r="D38" s="23" t="b">
        <v>1</v>
      </c>
      <c r="E38" s="23" t="s">
        <v>153</v>
      </c>
      <c r="F38" s="39">
        <f t="shared" si="5"/>
        <v>80</v>
      </c>
      <c r="G38" s="23" t="s">
        <v>392</v>
      </c>
      <c r="H38" s="23" t="s">
        <v>393</v>
      </c>
      <c r="I38" s="23" t="s">
        <v>394</v>
      </c>
      <c r="J38" s="23" t="s">
        <v>157</v>
      </c>
      <c r="K38" s="23" t="s">
        <v>158</v>
      </c>
      <c r="L38" s="23" t="s">
        <v>395</v>
      </c>
      <c r="M38" s="23" t="s">
        <v>382</v>
      </c>
      <c r="N38" s="23" t="s">
        <v>383</v>
      </c>
      <c r="O38" s="23" t="s">
        <v>384</v>
      </c>
      <c r="P38" s="23" t="s">
        <v>238</v>
      </c>
      <c r="Q38" s="23" t="s">
        <v>164</v>
      </c>
      <c r="R38" s="24">
        <v>4130</v>
      </c>
      <c r="S38" s="56">
        <f>Table2[[#This Row],[delivery_time_in_seconds]]/60</f>
        <v>68.833333333333329</v>
      </c>
      <c r="T38" s="23">
        <v>251</v>
      </c>
      <c r="U38" s="23">
        <v>251</v>
      </c>
      <c r="V38" s="23">
        <v>251</v>
      </c>
      <c r="W38" s="23">
        <v>300</v>
      </c>
      <c r="X38" s="23">
        <v>57</v>
      </c>
      <c r="Y38" s="23" t="s">
        <v>385</v>
      </c>
      <c r="Z38" s="23" t="str">
        <f>IF(Table2[[#This Row],[restaurant_customer_distance]]&lt;=2,"0-2 Km",IF(Table2[[#This Row],[restaurant_customer_distance]]&lt;=5,"2-5 Km",IF(Table2[[#This Row],[restaurant_customer_distance]]&lt;=8,"5-8 Km","8+Km")))</f>
        <v>0-2 Km</v>
      </c>
      <c r="AA38" s="23">
        <v>1.9</v>
      </c>
      <c r="AB38" s="23" t="s">
        <v>166</v>
      </c>
      <c r="AC38" s="23" t="s">
        <v>386</v>
      </c>
      <c r="AD38" s="23" t="b">
        <v>0</v>
      </c>
      <c r="AE38" s="23">
        <v>0</v>
      </c>
      <c r="AF38" s="25">
        <f t="shared" si="6"/>
        <v>45352</v>
      </c>
      <c r="AG38" s="26" t="str">
        <f>IFERROR(VLOOKUP(AC38,#REF!,2,0),AC38)</f>
        <v>Hsr Layout</v>
      </c>
      <c r="AH38" s="27" t="str">
        <f t="shared" si="7"/>
        <v>Subway</v>
      </c>
      <c r="AI38" s="28" t="str">
        <f t="shared" si="3"/>
        <v>12.9118135</v>
      </c>
      <c r="AJ38" s="29" t="str">
        <f t="shared" si="4"/>
        <v>77.637958</v>
      </c>
      <c r="AK38"/>
    </row>
    <row r="39" spans="1:37">
      <c r="A39" s="22">
        <v>168959031219038</v>
      </c>
      <c r="B39" s="22" t="str">
        <f>_xlfn.XLOOKUP(Table2[[#This Row],[order_id]],swiggy_order_items!A39:A208,swiggy_order_items!B39:B208)</f>
        <v>B.M.T Sandwich</v>
      </c>
      <c r="C39" s="22" t="str">
        <f>_xlfn.XLOOKUP(Table2[[#This Row],[name of the food]],swiggy_order_items!B39:B208,swiggy_order_items!E39:E208)</f>
        <v>Non_Veg</v>
      </c>
      <c r="D39" s="23" t="b">
        <v>1</v>
      </c>
      <c r="E39" s="23" t="s">
        <v>153</v>
      </c>
      <c r="F39" s="39">
        <f t="shared" si="5"/>
        <v>80</v>
      </c>
      <c r="G39" s="23" t="s">
        <v>392</v>
      </c>
      <c r="H39" s="23" t="s">
        <v>396</v>
      </c>
      <c r="I39" s="23" t="s">
        <v>397</v>
      </c>
      <c r="J39" s="23" t="s">
        <v>157</v>
      </c>
      <c r="K39" s="23" t="s">
        <v>158</v>
      </c>
      <c r="L39" s="23" t="s">
        <v>398</v>
      </c>
      <c r="M39" s="23" t="s">
        <v>382</v>
      </c>
      <c r="N39" s="23" t="s">
        <v>383</v>
      </c>
      <c r="O39" s="23" t="s">
        <v>384</v>
      </c>
      <c r="P39" s="23" t="s">
        <v>238</v>
      </c>
      <c r="Q39" s="23" t="s">
        <v>164</v>
      </c>
      <c r="R39" s="24">
        <v>864</v>
      </c>
      <c r="S39" s="56">
        <f>Table2[[#This Row],[delivery_time_in_seconds]]/60</f>
        <v>14.4</v>
      </c>
      <c r="T39" s="23">
        <v>302</v>
      </c>
      <c r="U39" s="23">
        <v>302</v>
      </c>
      <c r="V39" s="23">
        <v>302</v>
      </c>
      <c r="W39" s="23">
        <v>349</v>
      </c>
      <c r="X39" s="23">
        <v>32</v>
      </c>
      <c r="Y39" s="23" t="s">
        <v>385</v>
      </c>
      <c r="Z39" s="23" t="str">
        <f>IF(Table2[[#This Row],[restaurant_customer_distance]]&lt;=2,"0-2 Km",IF(Table2[[#This Row],[restaurant_customer_distance]]&lt;=5,"2-5 Km",IF(Table2[[#This Row],[restaurant_customer_distance]]&lt;=8,"5-8 Km","8+Km")))</f>
        <v>0-2 Km</v>
      </c>
      <c r="AA39" s="23">
        <v>1.9</v>
      </c>
      <c r="AB39" s="23" t="s">
        <v>166</v>
      </c>
      <c r="AC39" s="23" t="s">
        <v>386</v>
      </c>
      <c r="AD39" s="23" t="b">
        <v>1</v>
      </c>
      <c r="AE39" s="23">
        <v>0</v>
      </c>
      <c r="AF39" s="25">
        <f t="shared" si="6"/>
        <v>45352</v>
      </c>
      <c r="AG39" s="26" t="str">
        <f>IFERROR(VLOOKUP(AC39,#REF!,2,0),AC39)</f>
        <v>Hsr Layout</v>
      </c>
      <c r="AH39" s="27" t="str">
        <f t="shared" si="7"/>
        <v>Subway</v>
      </c>
      <c r="AI39" s="28" t="str">
        <f t="shared" si="3"/>
        <v>12.9118135</v>
      </c>
      <c r="AJ39" s="29" t="str">
        <f t="shared" si="4"/>
        <v>77.637958</v>
      </c>
      <c r="AK39"/>
    </row>
    <row r="40" spans="1:37">
      <c r="A40" s="22">
        <v>168877172918547</v>
      </c>
      <c r="B40" s="22" t="str">
        <f>_xlfn.XLOOKUP(Table2[[#This Row],[order_id]],swiggy_order_items!A40:A209,swiggy_order_items!B40:B209)</f>
        <v>High-Protein Chicken Omelette</v>
      </c>
      <c r="C40" s="22" t="str">
        <f>_xlfn.XLOOKUP(Table2[[#This Row],[name of the food]],swiggy_order_items!B40:B209,swiggy_order_items!E40:E209)</f>
        <v>Non_Veg</v>
      </c>
      <c r="D40" s="23" t="b">
        <v>0</v>
      </c>
      <c r="E40" s="23" t="s">
        <v>167</v>
      </c>
      <c r="F40" s="39" t="str">
        <f t="shared" si="5"/>
        <v>NO OFFER</v>
      </c>
      <c r="G40" s="23" t="s">
        <v>168</v>
      </c>
      <c r="H40" s="23" t="s">
        <v>399</v>
      </c>
      <c r="I40" s="23" t="s">
        <v>400</v>
      </c>
      <c r="J40" s="23" t="s">
        <v>157</v>
      </c>
      <c r="K40" s="23" t="s">
        <v>158</v>
      </c>
      <c r="L40" s="23" t="s">
        <v>401</v>
      </c>
      <c r="M40" s="23" t="s">
        <v>402</v>
      </c>
      <c r="N40" s="23" t="s">
        <v>403</v>
      </c>
      <c r="O40" s="23" t="s">
        <v>404</v>
      </c>
      <c r="P40" s="23" t="s">
        <v>405</v>
      </c>
      <c r="Q40" s="23" t="s">
        <v>164</v>
      </c>
      <c r="R40" s="24">
        <v>2660</v>
      </c>
      <c r="S40" s="56">
        <f>Table2[[#This Row],[delivery_time_in_seconds]]/60</f>
        <v>44.333333333333336</v>
      </c>
      <c r="T40" s="23">
        <v>154</v>
      </c>
      <c r="U40" s="23">
        <v>154</v>
      </c>
      <c r="V40" s="23">
        <v>154</v>
      </c>
      <c r="W40" s="23">
        <v>249</v>
      </c>
      <c r="X40" s="23">
        <v>36</v>
      </c>
      <c r="Y40" s="23" t="s">
        <v>406</v>
      </c>
      <c r="Z40" s="23" t="str">
        <f>IF(Table2[[#This Row],[restaurant_customer_distance]]&lt;=2,"0-2 Km",IF(Table2[[#This Row],[restaurant_customer_distance]]&lt;=5,"2-5 Km",IF(Table2[[#This Row],[restaurant_customer_distance]]&lt;=8,"5-8 Km","8+Km")))</f>
        <v>0-2 Km</v>
      </c>
      <c r="AA40" s="23">
        <v>1.8</v>
      </c>
      <c r="AB40" s="23" t="s">
        <v>166</v>
      </c>
      <c r="AC40" s="23" t="s">
        <v>240</v>
      </c>
      <c r="AD40" s="23" t="b">
        <v>0</v>
      </c>
      <c r="AE40" s="23">
        <v>0</v>
      </c>
      <c r="AF40" s="25">
        <f t="shared" si="6"/>
        <v>45352</v>
      </c>
      <c r="AG40" s="26" t="str">
        <f>IFERROR(VLOOKUP(AC40,#REF!,2,0),AC40)</f>
        <v>HSR Layout</v>
      </c>
      <c r="AH40" s="27" t="str">
        <f t="shared" si="7"/>
        <v>Bowl Soul</v>
      </c>
      <c r="AI40" s="28" t="str">
        <f t="shared" si="3"/>
        <v>12.9054065</v>
      </c>
      <c r="AJ40" s="29" t="str">
        <f t="shared" si="4"/>
        <v>77.64410799999996</v>
      </c>
      <c r="AK40"/>
    </row>
    <row r="41" spans="1:37">
      <c r="A41" s="22">
        <v>168622214022977</v>
      </c>
      <c r="B41" s="22" t="str">
        <f>_xlfn.XLOOKUP(Table2[[#This Row],[order_id]],swiggy_order_items!A41:A210,swiggy_order_items!B41:B210)</f>
        <v>B.M.T Sandwich</v>
      </c>
      <c r="C41" s="22" t="str">
        <f>_xlfn.XLOOKUP(Table2[[#This Row],[name of the food]],swiggy_order_items!B41:B210,swiggy_order_items!E41:E210)</f>
        <v>Non_Veg</v>
      </c>
      <c r="D41" s="23" t="b">
        <v>1</v>
      </c>
      <c r="E41" s="23" t="s">
        <v>153</v>
      </c>
      <c r="F41" s="39">
        <f t="shared" si="5"/>
        <v>80</v>
      </c>
      <c r="G41" s="23" t="s">
        <v>407</v>
      </c>
      <c r="H41" s="23" t="s">
        <v>408</v>
      </c>
      <c r="I41" s="23" t="s">
        <v>409</v>
      </c>
      <c r="J41" s="23" t="s">
        <v>157</v>
      </c>
      <c r="K41" s="23" t="s">
        <v>158</v>
      </c>
      <c r="L41" s="23" t="s">
        <v>410</v>
      </c>
      <c r="M41" s="23" t="s">
        <v>382</v>
      </c>
      <c r="N41" s="23" t="s">
        <v>383</v>
      </c>
      <c r="O41" s="23" t="s">
        <v>384</v>
      </c>
      <c r="P41" s="23" t="s">
        <v>238</v>
      </c>
      <c r="Q41" s="23" t="s">
        <v>164</v>
      </c>
      <c r="R41" s="24">
        <v>2107</v>
      </c>
      <c r="S41" s="56">
        <f>Table2[[#This Row],[delivery_time_in_seconds]]/60</f>
        <v>35.116666666666667</v>
      </c>
      <c r="T41" s="23">
        <v>302</v>
      </c>
      <c r="U41" s="23">
        <v>302</v>
      </c>
      <c r="V41" s="23">
        <v>302</v>
      </c>
      <c r="W41" s="23">
        <v>349</v>
      </c>
      <c r="X41" s="23">
        <v>36</v>
      </c>
      <c r="Y41" s="23" t="s">
        <v>385</v>
      </c>
      <c r="Z41" s="23" t="str">
        <f>IF(Table2[[#This Row],[restaurant_customer_distance]]&lt;=2,"0-2 Km",IF(Table2[[#This Row],[restaurant_customer_distance]]&lt;=5,"2-5 Km",IF(Table2[[#This Row],[restaurant_customer_distance]]&lt;=8,"5-8 Km","8+Km")))</f>
        <v>0-2 Km</v>
      </c>
      <c r="AA41" s="23">
        <v>1.7</v>
      </c>
      <c r="AB41" s="23" t="s">
        <v>166</v>
      </c>
      <c r="AC41" s="23" t="s">
        <v>386</v>
      </c>
      <c r="AD41" s="23" t="b">
        <v>1</v>
      </c>
      <c r="AE41" s="23">
        <v>0</v>
      </c>
      <c r="AF41" s="25">
        <f t="shared" si="6"/>
        <v>45352</v>
      </c>
      <c r="AG41" s="26" t="str">
        <f>IFERROR(VLOOKUP(AC41,#REF!,2,0),AC41)</f>
        <v>Hsr Layout</v>
      </c>
      <c r="AH41" s="27" t="str">
        <f t="shared" si="7"/>
        <v>Subway</v>
      </c>
      <c r="AI41" s="28" t="str">
        <f t="shared" si="3"/>
        <v>12.9118135</v>
      </c>
      <c r="AJ41" s="29" t="str">
        <f t="shared" si="4"/>
        <v>77.637958</v>
      </c>
      <c r="AK41"/>
    </row>
    <row r="42" spans="1:37">
      <c r="A42" s="22">
        <v>168513609258675</v>
      </c>
      <c r="B42" s="22" t="str">
        <f>_xlfn.XLOOKUP(Table2[[#This Row],[order_id]],swiggy_order_items!A42:A211,swiggy_order_items!B42:B211)</f>
        <v>Mutton Bone Soup</v>
      </c>
      <c r="C42" s="22" t="str">
        <f>_xlfn.XLOOKUP(Table2[[#This Row],[name of the food]],swiggy_order_items!B42:B211,swiggy_order_items!E42:E211)</f>
        <v>Non_Veg</v>
      </c>
      <c r="D42" s="23" t="b">
        <v>0</v>
      </c>
      <c r="E42" s="23" t="s">
        <v>167</v>
      </c>
      <c r="F42" s="39" t="str">
        <f t="shared" si="5"/>
        <v>NO OFFER</v>
      </c>
      <c r="G42" s="23" t="s">
        <v>168</v>
      </c>
      <c r="H42" s="23" t="s">
        <v>411</v>
      </c>
      <c r="I42" s="23" t="s">
        <v>412</v>
      </c>
      <c r="J42" s="23" t="s">
        <v>157</v>
      </c>
      <c r="K42" s="23" t="s">
        <v>158</v>
      </c>
      <c r="L42" s="23" t="s">
        <v>413</v>
      </c>
      <c r="M42" s="23" t="s">
        <v>414</v>
      </c>
      <c r="N42" s="23" t="s">
        <v>173</v>
      </c>
      <c r="O42" s="23" t="s">
        <v>415</v>
      </c>
      <c r="P42" s="23" t="s">
        <v>416</v>
      </c>
      <c r="Q42" s="23" t="s">
        <v>164</v>
      </c>
      <c r="R42" s="24">
        <v>3667</v>
      </c>
      <c r="S42" s="56">
        <f>Table2[[#This Row],[delivery_time_in_seconds]]/60</f>
        <v>61.116666666666667</v>
      </c>
      <c r="T42" s="23">
        <v>537</v>
      </c>
      <c r="U42" s="23">
        <v>537</v>
      </c>
      <c r="V42" s="23">
        <v>537</v>
      </c>
      <c r="W42" s="23">
        <v>525</v>
      </c>
      <c r="X42" s="23">
        <v>44</v>
      </c>
      <c r="Y42" s="23" t="s">
        <v>417</v>
      </c>
      <c r="Z42" s="23" t="str">
        <f>IF(Table2[[#This Row],[restaurant_customer_distance]]&lt;=2,"0-2 Km",IF(Table2[[#This Row],[restaurant_customer_distance]]&lt;=5,"2-5 Km",IF(Table2[[#This Row],[restaurant_customer_distance]]&lt;=8,"5-8 Km","8+Km")))</f>
        <v>2-5 Km</v>
      </c>
      <c r="AA42" s="23">
        <v>4.8</v>
      </c>
      <c r="AB42" s="23" t="s">
        <v>166</v>
      </c>
      <c r="AC42" s="23" t="s">
        <v>416</v>
      </c>
      <c r="AD42" s="23" t="b">
        <v>0</v>
      </c>
      <c r="AE42" s="23">
        <v>0</v>
      </c>
      <c r="AF42" s="25">
        <f t="shared" si="6"/>
        <v>45352</v>
      </c>
      <c r="AG42" s="26" t="str">
        <f>IFERROR(VLOOKUP(AC42,#REF!,2,0),AC42)</f>
        <v>Koramangala</v>
      </c>
      <c r="AH42" s="27" t="str">
        <f t="shared" si="7"/>
        <v>Nandhana Palace</v>
      </c>
      <c r="AI42" s="28" t="str">
        <f t="shared" si="3"/>
        <v>12.93171741</v>
      </c>
      <c r="AJ42" s="29" t="str">
        <f t="shared" si="4"/>
        <v>77.6229908</v>
      </c>
      <c r="AK42"/>
    </row>
    <row r="43" spans="1:37">
      <c r="A43" s="22">
        <v>168438354785516</v>
      </c>
      <c r="B43" s="22" t="str">
        <f>_xlfn.XLOOKUP(Table2[[#This Row],[order_id]],swiggy_order_items!A43:A212,swiggy_order_items!B43:B212)</f>
        <v>Veg. Ramyun</v>
      </c>
      <c r="C43" s="22" t="str">
        <f>_xlfn.XLOOKUP(Table2[[#This Row],[name of the food]],swiggy_order_items!B43:B212,swiggy_order_items!E43:E212)</f>
        <v>Veg</v>
      </c>
      <c r="D43" s="23" t="b">
        <v>0</v>
      </c>
      <c r="E43" s="23" t="s">
        <v>167</v>
      </c>
      <c r="F43" s="39" t="str">
        <f t="shared" si="5"/>
        <v>NO OFFER</v>
      </c>
      <c r="G43" s="23" t="s">
        <v>168</v>
      </c>
      <c r="H43" s="23" t="s">
        <v>418</v>
      </c>
      <c r="I43" s="23" t="s">
        <v>419</v>
      </c>
      <c r="J43" s="23" t="s">
        <v>157</v>
      </c>
      <c r="K43" s="23" t="s">
        <v>158</v>
      </c>
      <c r="L43" s="23" t="s">
        <v>420</v>
      </c>
      <c r="M43" s="23" t="s">
        <v>421</v>
      </c>
      <c r="N43" s="23" t="s">
        <v>214</v>
      </c>
      <c r="O43" s="23" t="s">
        <v>422</v>
      </c>
      <c r="P43" s="23" t="s">
        <v>405</v>
      </c>
      <c r="Q43" s="23" t="s">
        <v>164</v>
      </c>
      <c r="R43" s="24">
        <v>1348</v>
      </c>
      <c r="S43" s="56">
        <f>Table2[[#This Row],[delivery_time_in_seconds]]/60</f>
        <v>22.466666666666665</v>
      </c>
      <c r="T43" s="23">
        <v>466</v>
      </c>
      <c r="U43" s="23">
        <v>466</v>
      </c>
      <c r="V43" s="23">
        <v>466</v>
      </c>
      <c r="W43" s="23">
        <v>400</v>
      </c>
      <c r="X43" s="23">
        <v>39</v>
      </c>
      <c r="Y43" s="23" t="s">
        <v>423</v>
      </c>
      <c r="Z43" s="23" t="str">
        <f>IF(Table2[[#This Row],[restaurant_customer_distance]]&lt;=2,"0-2 Km",IF(Table2[[#This Row],[restaurant_customer_distance]]&lt;=5,"2-5 Km",IF(Table2[[#This Row],[restaurant_customer_distance]]&lt;=8,"5-8 Km","8+Km")))</f>
        <v>2-5 Km</v>
      </c>
      <c r="AA43" s="23">
        <v>2.1</v>
      </c>
      <c r="AB43" s="23" t="s">
        <v>166</v>
      </c>
      <c r="AC43" s="23" t="s">
        <v>240</v>
      </c>
      <c r="AD43" s="23" t="b">
        <v>1</v>
      </c>
      <c r="AE43" s="23">
        <v>0</v>
      </c>
      <c r="AF43" s="25">
        <f t="shared" si="6"/>
        <v>45352</v>
      </c>
      <c r="AG43" s="26" t="str">
        <f>IFERROR(VLOOKUP(AC43,#REF!,2,0),AC43)</f>
        <v>HSR Layout</v>
      </c>
      <c r="AH43" s="27" t="str">
        <f t="shared" si="7"/>
        <v>Daily Sushi</v>
      </c>
      <c r="AI43" s="28" t="str">
        <f t="shared" si="3"/>
        <v>12.90942041</v>
      </c>
      <c r="AJ43" s="29" t="str">
        <f t="shared" si="4"/>
        <v>77.63866215</v>
      </c>
      <c r="AK43"/>
    </row>
    <row r="44" spans="1:37">
      <c r="A44" s="22">
        <v>168293863851738</v>
      </c>
      <c r="B44" s="22" t="str">
        <f>_xlfn.XLOOKUP(Table2[[#This Row],[order_id]],swiggy_order_items!A44:A213,swiggy_order_items!B44:B213)</f>
        <v>Ferrero Magic</v>
      </c>
      <c r="C44" s="22" t="str">
        <f>_xlfn.XLOOKUP(Table2[[#This Row],[name of the food]],swiggy_order_items!B44:B213,swiggy_order_items!E44:E213)</f>
        <v>Veg</v>
      </c>
      <c r="D44" s="23" t="b">
        <v>0</v>
      </c>
      <c r="E44" s="23" t="s">
        <v>167</v>
      </c>
      <c r="F44" s="39" t="str">
        <f t="shared" si="5"/>
        <v>NO OFFER</v>
      </c>
      <c r="G44" s="23" t="s">
        <v>168</v>
      </c>
      <c r="H44" s="23" t="s">
        <v>424</v>
      </c>
      <c r="I44" s="23" t="s">
        <v>425</v>
      </c>
      <c r="J44" s="23" t="s">
        <v>157</v>
      </c>
      <c r="K44" s="23" t="s">
        <v>158</v>
      </c>
      <c r="L44" s="23" t="s">
        <v>426</v>
      </c>
      <c r="M44" s="23" t="s">
        <v>427</v>
      </c>
      <c r="N44" s="23" t="s">
        <v>428</v>
      </c>
      <c r="O44" s="23" t="s">
        <v>429</v>
      </c>
      <c r="P44" s="23" t="s">
        <v>430</v>
      </c>
      <c r="Q44" s="23" t="s">
        <v>164</v>
      </c>
      <c r="R44" s="24">
        <v>1954</v>
      </c>
      <c r="S44" s="56">
        <f>Table2[[#This Row],[delivery_time_in_seconds]]/60</f>
        <v>32.56666666666667</v>
      </c>
      <c r="T44" s="23">
        <v>568</v>
      </c>
      <c r="U44" s="23">
        <v>568</v>
      </c>
      <c r="V44" s="23">
        <v>568</v>
      </c>
      <c r="W44" s="23">
        <v>518</v>
      </c>
      <c r="X44" s="23">
        <v>67</v>
      </c>
      <c r="Y44" s="23" t="s">
        <v>431</v>
      </c>
      <c r="Z44" s="23" t="str">
        <f>IF(Table2[[#This Row],[restaurant_customer_distance]]&lt;=2,"0-2 Km",IF(Table2[[#This Row],[restaurant_customer_distance]]&lt;=5,"2-5 Km",IF(Table2[[#This Row],[restaurant_customer_distance]]&lt;=8,"5-8 Km","8+Km")))</f>
        <v>5-8 Km</v>
      </c>
      <c r="AA44" s="23">
        <v>5.0999999999999996</v>
      </c>
      <c r="AB44" s="23" t="s">
        <v>166</v>
      </c>
      <c r="AC44" s="23" t="s">
        <v>432</v>
      </c>
      <c r="AD44" s="23" t="b">
        <v>1</v>
      </c>
      <c r="AE44" s="23">
        <v>0</v>
      </c>
      <c r="AF44" s="25">
        <f t="shared" si="6"/>
        <v>45352</v>
      </c>
      <c r="AG44" s="26" t="str">
        <f>IFERROR(VLOOKUP(AC44,#REF!,2,0),AC44)</f>
        <v>Yelahanka</v>
      </c>
      <c r="AH44" s="27" t="str">
        <f t="shared" si="7"/>
        <v>Sundae Everyday Ice Creams</v>
      </c>
      <c r="AI44" s="28" t="str">
        <f t="shared" si="3"/>
        <v>13.16024</v>
      </c>
      <c r="AJ44" s="29" t="str">
        <f t="shared" si="4"/>
        <v>77.6351</v>
      </c>
      <c r="AK44"/>
    </row>
    <row r="45" spans="1:37">
      <c r="A45" s="22">
        <v>168028113662672</v>
      </c>
      <c r="B45" s="22" t="str">
        <f>_xlfn.XLOOKUP(Table2[[#This Row],[order_id]],swiggy_order_items!A45:A214,swiggy_order_items!B45:B214)</f>
        <v>Melted Cheese Chicken Shawarma</v>
      </c>
      <c r="C45" s="22" t="str">
        <f>_xlfn.XLOOKUP(Table2[[#This Row],[name of the food]],swiggy_order_items!B45:B214,swiggy_order_items!E45:E214)</f>
        <v>Non_Veg</v>
      </c>
      <c r="D45" s="23" t="b">
        <v>1</v>
      </c>
      <c r="E45" s="23" t="s">
        <v>153</v>
      </c>
      <c r="F45" s="39">
        <f t="shared" si="5"/>
        <v>20.9</v>
      </c>
      <c r="G45" s="23" t="s">
        <v>433</v>
      </c>
      <c r="H45" s="23" t="s">
        <v>434</v>
      </c>
      <c r="I45" s="23" t="s">
        <v>435</v>
      </c>
      <c r="J45" s="23" t="s">
        <v>157</v>
      </c>
      <c r="K45" s="23" t="s">
        <v>158</v>
      </c>
      <c r="L45" s="23" t="s">
        <v>436</v>
      </c>
      <c r="M45" s="23" t="s">
        <v>437</v>
      </c>
      <c r="N45" s="23" t="s">
        <v>438</v>
      </c>
      <c r="O45" s="23" t="s">
        <v>439</v>
      </c>
      <c r="P45" s="23" t="s">
        <v>416</v>
      </c>
      <c r="Q45" s="23" t="s">
        <v>164</v>
      </c>
      <c r="R45" s="24">
        <v>1074</v>
      </c>
      <c r="S45" s="56">
        <f>Table2[[#This Row],[delivery_time_in_seconds]]/60</f>
        <v>17.899999999999999</v>
      </c>
      <c r="T45" s="23">
        <v>212</v>
      </c>
      <c r="U45" s="23">
        <v>212</v>
      </c>
      <c r="V45" s="23">
        <v>212</v>
      </c>
      <c r="W45" s="23">
        <v>209</v>
      </c>
      <c r="X45" s="23">
        <v>66</v>
      </c>
      <c r="Y45" s="23" t="s">
        <v>440</v>
      </c>
      <c r="Z45" s="23" t="str">
        <f>IF(Table2[[#This Row],[restaurant_customer_distance]]&lt;=2,"0-2 Km",IF(Table2[[#This Row],[restaurant_customer_distance]]&lt;=5,"2-5 Km",IF(Table2[[#This Row],[restaurant_customer_distance]]&lt;=8,"5-8 Km","8+Km")))</f>
        <v>5-8 Km</v>
      </c>
      <c r="AA45" s="23">
        <v>5.9</v>
      </c>
      <c r="AB45" s="23" t="s">
        <v>166</v>
      </c>
      <c r="AC45" s="23" t="s">
        <v>416</v>
      </c>
      <c r="AD45" s="23" t="b">
        <v>1</v>
      </c>
      <c r="AE45" s="23">
        <v>0</v>
      </c>
      <c r="AF45" s="25">
        <f t="shared" si="6"/>
        <v>45323</v>
      </c>
      <c r="AG45" s="26" t="str">
        <f>IFERROR(VLOOKUP(AC45,#REF!,2,0),AC45)</f>
        <v>Koramangala</v>
      </c>
      <c r="AH45" s="27" t="str">
        <f t="shared" si="7"/>
        <v>Smoky Docky</v>
      </c>
      <c r="AI45" s="28" t="str">
        <f t="shared" si="3"/>
        <v>12.934678</v>
      </c>
      <c r="AJ45" s="29" t="str">
        <f t="shared" si="4"/>
        <v>77.616812</v>
      </c>
      <c r="AK45"/>
    </row>
    <row r="46" spans="1:37">
      <c r="A46" s="22">
        <v>168013539245633</v>
      </c>
      <c r="B46" s="22" t="str">
        <f>_xlfn.XLOOKUP(Table2[[#This Row],[order_id]],swiggy_order_items!A46:A215,swiggy_order_items!B46:B215)</f>
        <v>B.M.T Sandwich</v>
      </c>
      <c r="C46" s="22" t="str">
        <f>_xlfn.XLOOKUP(Table2[[#This Row],[name of the food]],swiggy_order_items!B46:B215,swiggy_order_items!E46:E215)</f>
        <v>Non_Veg</v>
      </c>
      <c r="D46" s="23" t="b">
        <v>1</v>
      </c>
      <c r="E46" s="23" t="s">
        <v>153</v>
      </c>
      <c r="F46" s="39">
        <f t="shared" si="5"/>
        <v>75</v>
      </c>
      <c r="G46" s="23" t="s">
        <v>441</v>
      </c>
      <c r="H46" s="23" t="s">
        <v>442</v>
      </c>
      <c r="I46" s="23" t="s">
        <v>443</v>
      </c>
      <c r="J46" s="23" t="s">
        <v>157</v>
      </c>
      <c r="K46" s="23" t="s">
        <v>158</v>
      </c>
      <c r="L46" s="23" t="s">
        <v>444</v>
      </c>
      <c r="M46" s="23" t="s">
        <v>445</v>
      </c>
      <c r="N46" s="23" t="s">
        <v>383</v>
      </c>
      <c r="O46" s="23" t="s">
        <v>446</v>
      </c>
      <c r="P46" s="23" t="s">
        <v>447</v>
      </c>
      <c r="Q46" s="23" t="s">
        <v>164</v>
      </c>
      <c r="R46" s="24">
        <v>1143</v>
      </c>
      <c r="S46" s="56">
        <f>Table2[[#This Row],[delivery_time_in_seconds]]/60</f>
        <v>19.05</v>
      </c>
      <c r="T46" s="23">
        <v>307</v>
      </c>
      <c r="U46" s="23">
        <v>307</v>
      </c>
      <c r="V46" s="23">
        <v>307</v>
      </c>
      <c r="W46" s="23">
        <v>349</v>
      </c>
      <c r="X46" s="23">
        <v>43</v>
      </c>
      <c r="Y46" s="23" t="s">
        <v>448</v>
      </c>
      <c r="Z46" s="23" t="str">
        <f>IF(Table2[[#This Row],[restaurant_customer_distance]]&lt;=2,"0-2 Km",IF(Table2[[#This Row],[restaurant_customer_distance]]&lt;=5,"2-5 Km",IF(Table2[[#This Row],[restaurant_customer_distance]]&lt;=8,"5-8 Km","8+Km")))</f>
        <v>2-5 Km</v>
      </c>
      <c r="AA46" s="23">
        <v>3.4</v>
      </c>
      <c r="AB46" s="23" t="s">
        <v>166</v>
      </c>
      <c r="AC46" s="23" t="s">
        <v>416</v>
      </c>
      <c r="AD46" s="23" t="b">
        <v>1</v>
      </c>
      <c r="AE46" s="23">
        <v>0</v>
      </c>
      <c r="AF46" s="25">
        <f t="shared" si="6"/>
        <v>45323</v>
      </c>
      <c r="AG46" s="26" t="str">
        <f>IFERROR(VLOOKUP(AC46,#REF!,2,0),AC46)</f>
        <v>Koramangala</v>
      </c>
      <c r="AH46" s="27" t="str">
        <f t="shared" si="7"/>
        <v>Subway</v>
      </c>
      <c r="AI46" s="28" t="str">
        <f t="shared" si="3"/>
        <v>12.928999</v>
      </c>
      <c r="AJ46" s="29" t="str">
        <f t="shared" si="4"/>
        <v>77.635218</v>
      </c>
      <c r="AK46"/>
    </row>
    <row r="47" spans="1:37">
      <c r="A47" s="22">
        <v>167927988529759</v>
      </c>
      <c r="B47" s="22" t="str">
        <f>_xlfn.XLOOKUP(Table2[[#This Row],[order_id]],swiggy_order_items!A47:A216,swiggy_order_items!B47:B216)</f>
        <v>Melted Cheese Chicken Shawarma</v>
      </c>
      <c r="C47" s="22" t="str">
        <f>_xlfn.XLOOKUP(Table2[[#This Row],[name of the food]],swiggy_order_items!B47:B216,swiggy_order_items!E47:E216)</f>
        <v>Non_Veg</v>
      </c>
      <c r="D47" s="23" t="b">
        <v>1</v>
      </c>
      <c r="E47" s="23" t="s">
        <v>153</v>
      </c>
      <c r="F47" s="39">
        <f t="shared" si="5"/>
        <v>20.9</v>
      </c>
      <c r="G47" s="23" t="s">
        <v>433</v>
      </c>
      <c r="H47" s="23" t="s">
        <v>449</v>
      </c>
      <c r="I47" s="23" t="s">
        <v>450</v>
      </c>
      <c r="J47" s="23" t="s">
        <v>157</v>
      </c>
      <c r="K47" s="23" t="s">
        <v>158</v>
      </c>
      <c r="L47" s="23" t="s">
        <v>451</v>
      </c>
      <c r="M47" s="23" t="s">
        <v>437</v>
      </c>
      <c r="N47" s="23" t="s">
        <v>438</v>
      </c>
      <c r="O47" s="23" t="s">
        <v>439</v>
      </c>
      <c r="P47" s="23" t="s">
        <v>416</v>
      </c>
      <c r="Q47" s="23" t="s">
        <v>164</v>
      </c>
      <c r="R47" s="24">
        <v>2408</v>
      </c>
      <c r="S47" s="56">
        <f>Table2[[#This Row],[delivery_time_in_seconds]]/60</f>
        <v>40.133333333333333</v>
      </c>
      <c r="T47" s="23">
        <v>212</v>
      </c>
      <c r="U47" s="23">
        <v>212</v>
      </c>
      <c r="V47" s="23">
        <v>212</v>
      </c>
      <c r="W47" s="23">
        <v>209</v>
      </c>
      <c r="X47" s="23">
        <v>60</v>
      </c>
      <c r="Y47" s="23" t="s">
        <v>440</v>
      </c>
      <c r="Z47" s="23" t="str">
        <f>IF(Table2[[#This Row],[restaurant_customer_distance]]&lt;=2,"0-2 Km",IF(Table2[[#This Row],[restaurant_customer_distance]]&lt;=5,"2-5 Km",IF(Table2[[#This Row],[restaurant_customer_distance]]&lt;=8,"5-8 Km","8+Km")))</f>
        <v>5-8 Km</v>
      </c>
      <c r="AA47" s="23">
        <v>5.9</v>
      </c>
      <c r="AB47" s="23" t="s">
        <v>166</v>
      </c>
      <c r="AC47" s="23" t="s">
        <v>416</v>
      </c>
      <c r="AD47" s="23" t="b">
        <v>0</v>
      </c>
      <c r="AE47" s="23">
        <v>0</v>
      </c>
      <c r="AF47" s="25">
        <f t="shared" si="6"/>
        <v>45323</v>
      </c>
      <c r="AG47" s="26" t="str">
        <f>IFERROR(VLOOKUP(AC47,#REF!,2,0),AC47)</f>
        <v>Koramangala</v>
      </c>
      <c r="AH47" s="27" t="str">
        <f t="shared" si="7"/>
        <v>Smoky Docky</v>
      </c>
      <c r="AI47" s="28" t="str">
        <f t="shared" si="3"/>
        <v>12.934678</v>
      </c>
      <c r="AJ47" s="29" t="str">
        <f t="shared" si="4"/>
        <v>77.616812</v>
      </c>
      <c r="AK47"/>
    </row>
    <row r="48" spans="1:37">
      <c r="A48" s="22">
        <v>167230102604894</v>
      </c>
      <c r="B48" s="22" t="str">
        <f>_xlfn.XLOOKUP(Table2[[#This Row],[order_id]],swiggy_order_items!A48:A217,swiggy_order_items!B48:B217)</f>
        <v>Nutella Cheese Cake</v>
      </c>
      <c r="C48" s="22" t="str">
        <f>_xlfn.XLOOKUP(Table2[[#This Row],[name of the food]],swiggy_order_items!B48:B217,swiggy_order_items!E48:E217)</f>
        <v>Non_Veg</v>
      </c>
      <c r="D48" s="23" t="b">
        <v>1</v>
      </c>
      <c r="E48" s="23" t="s">
        <v>153</v>
      </c>
      <c r="F48" s="39">
        <f t="shared" si="5"/>
        <v>35.700000000000003</v>
      </c>
      <c r="G48" s="23" t="s">
        <v>452</v>
      </c>
      <c r="H48" s="23" t="s">
        <v>453</v>
      </c>
      <c r="I48" s="23" t="s">
        <v>454</v>
      </c>
      <c r="J48" s="23" t="s">
        <v>157</v>
      </c>
      <c r="K48" s="23" t="s">
        <v>158</v>
      </c>
      <c r="L48" s="23" t="s">
        <v>455</v>
      </c>
      <c r="M48" s="23" t="s">
        <v>456</v>
      </c>
      <c r="N48" s="23" t="s">
        <v>182</v>
      </c>
      <c r="O48" s="23" t="s">
        <v>457</v>
      </c>
      <c r="P48" s="23" t="s">
        <v>340</v>
      </c>
      <c r="Q48" s="23" t="s">
        <v>164</v>
      </c>
      <c r="R48" s="24">
        <v>2856</v>
      </c>
      <c r="S48" s="56">
        <f>Table2[[#This Row],[delivery_time_in_seconds]]/60</f>
        <v>47.6</v>
      </c>
      <c r="T48" s="23">
        <v>341</v>
      </c>
      <c r="U48" s="23">
        <v>341</v>
      </c>
      <c r="V48" s="23">
        <v>341</v>
      </c>
      <c r="W48" s="23">
        <v>357</v>
      </c>
      <c r="X48" s="23">
        <v>77</v>
      </c>
      <c r="Y48" s="23" t="s">
        <v>458</v>
      </c>
      <c r="Z48" s="23" t="str">
        <f>IF(Table2[[#This Row],[restaurant_customer_distance]]&lt;=2,"0-2 Km",IF(Table2[[#This Row],[restaurant_customer_distance]]&lt;=5,"2-5 Km",IF(Table2[[#This Row],[restaurant_customer_distance]]&lt;=8,"5-8 Km","8+Km")))</f>
        <v>5-8 Km</v>
      </c>
      <c r="AA48" s="23">
        <v>6.2</v>
      </c>
      <c r="AB48" s="23" t="s">
        <v>166</v>
      </c>
      <c r="AC48" s="23" t="s">
        <v>459</v>
      </c>
      <c r="AD48" s="23" t="b">
        <v>0</v>
      </c>
      <c r="AE48" s="23">
        <v>0</v>
      </c>
      <c r="AF48" s="25">
        <f t="shared" si="6"/>
        <v>45323</v>
      </c>
      <c r="AG48" s="26" t="str">
        <f>IFERROR(VLOOKUP(AC48,#REF!,2,0),AC48)</f>
        <v>Devarabeesanahalli</v>
      </c>
      <c r="AH48" s="27" t="str">
        <f t="shared" si="7"/>
        <v>The Ganache Factory</v>
      </c>
      <c r="AI48" s="28" t="str">
        <f t="shared" si="3"/>
        <v>12.927366</v>
      </c>
      <c r="AJ48" s="29" t="str">
        <f t="shared" si="4"/>
        <v>77.692146</v>
      </c>
      <c r="AK48"/>
    </row>
    <row r="49" spans="1:37">
      <c r="A49" s="22">
        <v>167065261006312</v>
      </c>
      <c r="B49" s="22" t="str">
        <f>_xlfn.XLOOKUP(Table2[[#This Row],[order_id]],swiggy_order_items!A49:A218,swiggy_order_items!B49:B218)</f>
        <v>Pork Chashu Ramyun</v>
      </c>
      <c r="C49" s="22" t="str">
        <f>_xlfn.XLOOKUP(Table2[[#This Row],[name of the food]],swiggy_order_items!B49:B218,swiggy_order_items!E49:E218)</f>
        <v>Non_Veg</v>
      </c>
      <c r="D49" s="23" t="b">
        <v>0</v>
      </c>
      <c r="E49" s="23" t="s">
        <v>167</v>
      </c>
      <c r="F49" s="39" t="str">
        <f t="shared" si="5"/>
        <v>NO OFFER</v>
      </c>
      <c r="G49" s="23" t="s">
        <v>168</v>
      </c>
      <c r="H49" s="23" t="s">
        <v>460</v>
      </c>
      <c r="I49" s="23" t="s">
        <v>461</v>
      </c>
      <c r="J49" s="23" t="s">
        <v>157</v>
      </c>
      <c r="K49" s="23" t="s">
        <v>158</v>
      </c>
      <c r="L49" s="23" t="s">
        <v>462</v>
      </c>
      <c r="M49" s="23" t="s">
        <v>421</v>
      </c>
      <c r="N49" s="23" t="s">
        <v>214</v>
      </c>
      <c r="O49" s="23" t="s">
        <v>422</v>
      </c>
      <c r="P49" s="23" t="s">
        <v>405</v>
      </c>
      <c r="Q49" s="23" t="s">
        <v>164</v>
      </c>
      <c r="R49" s="24">
        <v>1383</v>
      </c>
      <c r="S49" s="56">
        <f>Table2[[#This Row],[delivery_time_in_seconds]]/60</f>
        <v>23.05</v>
      </c>
      <c r="T49" s="23">
        <v>650</v>
      </c>
      <c r="U49" s="23">
        <v>650</v>
      </c>
      <c r="V49" s="23">
        <v>650</v>
      </c>
      <c r="W49" s="23">
        <v>560</v>
      </c>
      <c r="X49" s="23">
        <v>43</v>
      </c>
      <c r="Y49" s="23" t="s">
        <v>423</v>
      </c>
      <c r="Z49" s="23" t="str">
        <f>IF(Table2[[#This Row],[restaurant_customer_distance]]&lt;=2,"0-2 Km",IF(Table2[[#This Row],[restaurant_customer_distance]]&lt;=5,"2-5 Km",IF(Table2[[#This Row],[restaurant_customer_distance]]&lt;=8,"5-8 Km","8+Km")))</f>
        <v>0-2 Km</v>
      </c>
      <c r="AA49" s="23">
        <v>2</v>
      </c>
      <c r="AB49" s="23" t="s">
        <v>218</v>
      </c>
      <c r="AC49" s="23" t="s">
        <v>240</v>
      </c>
      <c r="AD49" s="23" t="b">
        <v>1</v>
      </c>
      <c r="AE49" s="23">
        <v>0</v>
      </c>
      <c r="AF49" s="25">
        <f t="shared" si="6"/>
        <v>45323</v>
      </c>
      <c r="AG49" s="26" t="str">
        <f>IFERROR(VLOOKUP(AC49,#REF!,2,0),AC49)</f>
        <v>HSR Layout</v>
      </c>
      <c r="AH49" s="27" t="str">
        <f t="shared" si="7"/>
        <v>Daily Sushi</v>
      </c>
      <c r="AI49" s="28" t="str">
        <f t="shared" si="3"/>
        <v>12.90942041</v>
      </c>
      <c r="AJ49" s="29" t="str">
        <f t="shared" si="4"/>
        <v>77.63866215</v>
      </c>
      <c r="AK49"/>
    </row>
    <row r="50" spans="1:37">
      <c r="A50" s="22">
        <v>167041647226680</v>
      </c>
      <c r="B50" s="22" t="str">
        <f>_xlfn.XLOOKUP(Table2[[#This Row],[order_id]],swiggy_order_items!A50:A219,swiggy_order_items!B50:B219)</f>
        <v>B.M.T Sandwich</v>
      </c>
      <c r="C50" s="22" t="str">
        <f>_xlfn.XLOOKUP(Table2[[#This Row],[name of the food]],swiggy_order_items!B50:B219,swiggy_order_items!E50:E219)</f>
        <v>Non_Veg</v>
      </c>
      <c r="D50" s="23" t="b">
        <v>1</v>
      </c>
      <c r="E50" s="23" t="s">
        <v>153</v>
      </c>
      <c r="F50" s="39">
        <f t="shared" si="5"/>
        <v>80</v>
      </c>
      <c r="G50" s="23" t="s">
        <v>463</v>
      </c>
      <c r="H50" s="23" t="s">
        <v>464</v>
      </c>
      <c r="I50" s="23" t="s">
        <v>465</v>
      </c>
      <c r="J50" s="23" t="s">
        <v>157</v>
      </c>
      <c r="K50" s="23" t="s">
        <v>158</v>
      </c>
      <c r="L50" s="23" t="s">
        <v>466</v>
      </c>
      <c r="M50" s="23" t="s">
        <v>382</v>
      </c>
      <c r="N50" s="23" t="s">
        <v>383</v>
      </c>
      <c r="O50" s="23" t="s">
        <v>384</v>
      </c>
      <c r="P50" s="23" t="s">
        <v>238</v>
      </c>
      <c r="Q50" s="23" t="s">
        <v>164</v>
      </c>
      <c r="R50" s="24">
        <v>1410</v>
      </c>
      <c r="S50" s="56">
        <f>Table2[[#This Row],[delivery_time_in_seconds]]/60</f>
        <v>23.5</v>
      </c>
      <c r="T50" s="23">
        <v>302</v>
      </c>
      <c r="U50" s="23">
        <v>302</v>
      </c>
      <c r="V50" s="23">
        <v>302</v>
      </c>
      <c r="W50" s="23">
        <v>349</v>
      </c>
      <c r="X50" s="23">
        <v>31</v>
      </c>
      <c r="Y50" s="23" t="s">
        <v>385</v>
      </c>
      <c r="Z50" s="23" t="str">
        <f>IF(Table2[[#This Row],[restaurant_customer_distance]]&lt;=2,"0-2 Km",IF(Table2[[#This Row],[restaurant_customer_distance]]&lt;=5,"2-5 Km",IF(Table2[[#This Row],[restaurant_customer_distance]]&lt;=8,"5-8 Km","8+Km")))</f>
        <v>0-2 Km</v>
      </c>
      <c r="AA50" s="23">
        <v>1.9</v>
      </c>
      <c r="AB50" s="23" t="s">
        <v>166</v>
      </c>
      <c r="AC50" s="23" t="s">
        <v>386</v>
      </c>
      <c r="AD50" s="23" t="b">
        <v>1</v>
      </c>
      <c r="AE50" s="23">
        <v>0</v>
      </c>
      <c r="AF50" s="25">
        <f t="shared" si="6"/>
        <v>45323</v>
      </c>
      <c r="AG50" s="26" t="str">
        <f>IFERROR(VLOOKUP(AC50,#REF!,2,0),AC50)</f>
        <v>Hsr Layout</v>
      </c>
      <c r="AH50" s="27" t="str">
        <f t="shared" si="7"/>
        <v>Subway</v>
      </c>
      <c r="AI50" s="28" t="str">
        <f t="shared" si="3"/>
        <v>12.9118135</v>
      </c>
      <c r="AJ50" s="29" t="str">
        <f t="shared" si="4"/>
        <v>77.637958</v>
      </c>
      <c r="AK50"/>
    </row>
    <row r="51" spans="1:37">
      <c r="A51" s="22">
        <v>166952305677312</v>
      </c>
      <c r="B51" s="22" t="str">
        <f>_xlfn.XLOOKUP(Table2[[#This Row],[order_id]],swiggy_order_items!A51:A220,swiggy_order_items!B51:B220)</f>
        <v>Chocolate Hazelnut Cake (Nutella Cake) (Eggless)</v>
      </c>
      <c r="C51" s="22" t="str">
        <f>_xlfn.XLOOKUP(Table2[[#This Row],[name of the food]],swiggy_order_items!B51:B220,swiggy_order_items!E51:E220)</f>
        <v>Veg</v>
      </c>
      <c r="D51" s="23" t="b">
        <v>1</v>
      </c>
      <c r="E51" s="23" t="s">
        <v>153</v>
      </c>
      <c r="F51" s="39">
        <f t="shared" si="5"/>
        <v>40</v>
      </c>
      <c r="G51" s="23" t="s">
        <v>467</v>
      </c>
      <c r="H51" s="23" t="s">
        <v>468</v>
      </c>
      <c r="I51" s="23" t="s">
        <v>469</v>
      </c>
      <c r="J51" s="23" t="s">
        <v>157</v>
      </c>
      <c r="K51" s="23" t="s">
        <v>158</v>
      </c>
      <c r="L51" s="23" t="s">
        <v>470</v>
      </c>
      <c r="M51" s="23" t="s">
        <v>456</v>
      </c>
      <c r="N51" s="23" t="s">
        <v>182</v>
      </c>
      <c r="O51" s="23" t="s">
        <v>457</v>
      </c>
      <c r="P51" s="23" t="s">
        <v>340</v>
      </c>
      <c r="Q51" s="23" t="s">
        <v>164</v>
      </c>
      <c r="R51" s="24">
        <v>2633</v>
      </c>
      <c r="S51" s="56">
        <f>Table2[[#This Row],[delivery_time_in_seconds]]/60</f>
        <v>43.883333333333333</v>
      </c>
      <c r="T51" s="23">
        <v>809</v>
      </c>
      <c r="U51" s="23">
        <v>809</v>
      </c>
      <c r="V51" s="23">
        <v>809</v>
      </c>
      <c r="W51" s="23">
        <v>787.5</v>
      </c>
      <c r="X51" s="23">
        <v>79</v>
      </c>
      <c r="Y51" s="23" t="s">
        <v>458</v>
      </c>
      <c r="Z51" s="23" t="str">
        <f>IF(Table2[[#This Row],[restaurant_customer_distance]]&lt;=2,"0-2 Km",IF(Table2[[#This Row],[restaurant_customer_distance]]&lt;=5,"2-5 Km",IF(Table2[[#This Row],[restaurant_customer_distance]]&lt;=8,"5-8 Km","8+Km")))</f>
        <v>5-8 Km</v>
      </c>
      <c r="AA51" s="23">
        <v>7.1</v>
      </c>
      <c r="AB51" s="23" t="s">
        <v>166</v>
      </c>
      <c r="AC51" s="23" t="s">
        <v>459</v>
      </c>
      <c r="AD51" s="23" t="b">
        <v>1</v>
      </c>
      <c r="AE51" s="23">
        <v>0</v>
      </c>
      <c r="AF51" s="25">
        <f t="shared" si="6"/>
        <v>45323</v>
      </c>
      <c r="AG51" s="26" t="str">
        <f>IFERROR(VLOOKUP(AC51,#REF!,2,0),AC51)</f>
        <v>Devarabeesanahalli</v>
      </c>
      <c r="AH51" s="27" t="str">
        <f t="shared" si="7"/>
        <v>The Ganache Factory</v>
      </c>
      <c r="AI51" s="28" t="str">
        <f t="shared" si="3"/>
        <v>12.927366</v>
      </c>
      <c r="AJ51" s="29" t="str">
        <f t="shared" si="4"/>
        <v>77.692146</v>
      </c>
      <c r="AK51"/>
    </row>
    <row r="52" spans="1:37">
      <c r="A52" s="22">
        <v>166803724653459</v>
      </c>
      <c r="B52" s="22" t="str">
        <f>_xlfn.XLOOKUP(Table2[[#This Row],[order_id]],swiggy_order_items!A52:A221,swiggy_order_items!B52:B221)</f>
        <v>Tandoori Chicken Tikka Sandwich Guiltfree</v>
      </c>
      <c r="C52" s="22" t="str">
        <f>_xlfn.XLOOKUP(Table2[[#This Row],[name of the food]],swiggy_order_items!B52:B221,swiggy_order_items!E52:E221)</f>
        <v>Non_Veg</v>
      </c>
      <c r="D52" s="23" t="b">
        <v>1</v>
      </c>
      <c r="E52" s="23" t="s">
        <v>153</v>
      </c>
      <c r="F52" s="39">
        <f t="shared" si="5"/>
        <v>80</v>
      </c>
      <c r="G52" s="23" t="s">
        <v>463</v>
      </c>
      <c r="H52" s="23" t="s">
        <v>471</v>
      </c>
      <c r="I52" s="23" t="s">
        <v>472</v>
      </c>
      <c r="J52" s="23" t="s">
        <v>157</v>
      </c>
      <c r="K52" s="23" t="s">
        <v>158</v>
      </c>
      <c r="L52" s="23" t="s">
        <v>473</v>
      </c>
      <c r="M52" s="23" t="s">
        <v>382</v>
      </c>
      <c r="N52" s="23" t="s">
        <v>383</v>
      </c>
      <c r="O52" s="23" t="s">
        <v>384</v>
      </c>
      <c r="P52" s="23" t="s">
        <v>238</v>
      </c>
      <c r="Q52" s="23" t="s">
        <v>164</v>
      </c>
      <c r="R52" s="24">
        <v>2219</v>
      </c>
      <c r="S52" s="56">
        <f>Table2[[#This Row],[delivery_time_in_seconds]]/60</f>
        <v>36.983333333333334</v>
      </c>
      <c r="T52" s="23">
        <v>198</v>
      </c>
      <c r="U52" s="23">
        <v>198</v>
      </c>
      <c r="V52" s="23">
        <v>198</v>
      </c>
      <c r="W52" s="23">
        <v>250</v>
      </c>
      <c r="X52" s="23">
        <v>34</v>
      </c>
      <c r="Y52" s="23" t="s">
        <v>385</v>
      </c>
      <c r="Z52" s="23" t="str">
        <f>IF(Table2[[#This Row],[restaurant_customer_distance]]&lt;=2,"0-2 Km",IF(Table2[[#This Row],[restaurant_customer_distance]]&lt;=5,"2-5 Km",IF(Table2[[#This Row],[restaurant_customer_distance]]&lt;=8,"5-8 Km","8+Km")))</f>
        <v>0-2 Km</v>
      </c>
      <c r="AA52" s="23">
        <v>1.9</v>
      </c>
      <c r="AB52" s="23" t="s">
        <v>166</v>
      </c>
      <c r="AC52" s="23" t="s">
        <v>386</v>
      </c>
      <c r="AD52" s="23" t="b">
        <v>0</v>
      </c>
      <c r="AE52" s="23">
        <v>0</v>
      </c>
      <c r="AF52" s="25">
        <f t="shared" si="6"/>
        <v>45323</v>
      </c>
      <c r="AG52" s="26" t="str">
        <f>IFERROR(VLOOKUP(AC52,#REF!,2,0),AC52)</f>
        <v>Hsr Layout</v>
      </c>
      <c r="AH52" s="27" t="str">
        <f t="shared" si="7"/>
        <v>Subway</v>
      </c>
      <c r="AI52" s="28" t="str">
        <f t="shared" si="3"/>
        <v>12.9118135</v>
      </c>
      <c r="AJ52" s="29" t="str">
        <f t="shared" si="4"/>
        <v>77.637958</v>
      </c>
      <c r="AK52"/>
    </row>
    <row r="53" spans="1:37">
      <c r="A53" s="22">
        <v>165960896748502</v>
      </c>
      <c r="B53" s="22" t="str">
        <f>_xlfn.XLOOKUP(Table2[[#This Row],[order_id]],swiggy_order_items!A53:A222,swiggy_order_items!B53:B222)</f>
        <v>Mint Choco Chip Ice Cream [125 Ml]</v>
      </c>
      <c r="C53" s="22" t="str">
        <f>_xlfn.XLOOKUP(Table2[[#This Row],[name of the food]],swiggy_order_items!B53:B222,swiggy_order_items!E53:E222)</f>
        <v>Veg</v>
      </c>
      <c r="D53" s="23" t="b">
        <v>1</v>
      </c>
      <c r="E53" s="23" t="s">
        <v>252</v>
      </c>
      <c r="F53" s="39">
        <f t="shared" si="5"/>
        <v>111.6</v>
      </c>
      <c r="G53" s="23" t="s">
        <v>474</v>
      </c>
      <c r="H53" s="23" t="s">
        <v>475</v>
      </c>
      <c r="I53" s="23" t="s">
        <v>476</v>
      </c>
      <c r="J53" s="23" t="s">
        <v>157</v>
      </c>
      <c r="K53" s="23" t="s">
        <v>158</v>
      </c>
      <c r="L53" s="23" t="s">
        <v>477</v>
      </c>
      <c r="M53" s="23" t="s">
        <v>478</v>
      </c>
      <c r="N53" s="23" t="s">
        <v>479</v>
      </c>
      <c r="O53" s="23" t="s">
        <v>480</v>
      </c>
      <c r="P53" s="23" t="s">
        <v>481</v>
      </c>
      <c r="Q53" s="23" t="s">
        <v>164</v>
      </c>
      <c r="R53" s="24">
        <v>805</v>
      </c>
      <c r="S53" s="56">
        <f>Table2[[#This Row],[delivery_time_in_seconds]]/60</f>
        <v>13.416666666666666</v>
      </c>
      <c r="T53" s="23">
        <v>115</v>
      </c>
      <c r="U53" s="23">
        <v>115</v>
      </c>
      <c r="V53" s="23">
        <v>115</v>
      </c>
      <c r="W53" s="23">
        <v>186</v>
      </c>
      <c r="X53" s="23">
        <v>50</v>
      </c>
      <c r="Y53" s="23" t="s">
        <v>482</v>
      </c>
      <c r="Z53" s="23" t="str">
        <f>IF(Table2[[#This Row],[restaurant_customer_distance]]&lt;=2,"0-2 Km",IF(Table2[[#This Row],[restaurant_customer_distance]]&lt;=5,"2-5 Km",IF(Table2[[#This Row],[restaurant_customer_distance]]&lt;=8,"5-8 Km","8+Km")))</f>
        <v>2-5 Km</v>
      </c>
      <c r="AA53" s="23">
        <v>4.4000000000000004</v>
      </c>
      <c r="AB53" s="23" t="s">
        <v>166</v>
      </c>
      <c r="AC53" s="23" t="s">
        <v>340</v>
      </c>
      <c r="AD53" s="23" t="b">
        <v>1</v>
      </c>
      <c r="AE53" s="23">
        <v>0</v>
      </c>
      <c r="AF53" s="25">
        <f t="shared" si="6"/>
        <v>45323</v>
      </c>
      <c r="AG53" s="26" t="str">
        <f>IFERROR(VLOOKUP(AC53,#REF!,2,0),AC53)</f>
        <v>Bellandur Sarjapur</v>
      </c>
      <c r="AH53" s="27" t="str">
        <f t="shared" si="7"/>
        <v>NOTO</v>
      </c>
      <c r="AI53" s="28" t="str">
        <f t="shared" si="3"/>
        <v>12.913087</v>
      </c>
      <c r="AJ53" s="29" t="str">
        <f t="shared" si="4"/>
        <v>77.678681</v>
      </c>
      <c r="AK53"/>
    </row>
    <row r="54" spans="1:37">
      <c r="A54" s="22">
        <v>165923274381702</v>
      </c>
      <c r="B54" s="22" t="str">
        <f>_xlfn.XLOOKUP(Table2[[#This Row],[order_id]],swiggy_order_items!A54:A223,swiggy_order_items!B54:B223)</f>
        <v>Lebenese Shawarma</v>
      </c>
      <c r="C54" s="22" t="str">
        <f>_xlfn.XLOOKUP(Table2[[#This Row],[name of the food]],swiggy_order_items!B54:B223,swiggy_order_items!E54:E223)</f>
        <v>Non_Veg</v>
      </c>
      <c r="D54" s="23" t="b">
        <v>0</v>
      </c>
      <c r="E54" s="23" t="s">
        <v>167</v>
      </c>
      <c r="F54" s="39" t="str">
        <f t="shared" si="5"/>
        <v>NO OFFER</v>
      </c>
      <c r="G54" s="23" t="s">
        <v>168</v>
      </c>
      <c r="H54" s="23" t="s">
        <v>483</v>
      </c>
      <c r="I54" s="23" t="s">
        <v>484</v>
      </c>
      <c r="J54" s="23" t="s">
        <v>157</v>
      </c>
      <c r="K54" s="23" t="s">
        <v>158</v>
      </c>
      <c r="L54" s="23" t="s">
        <v>485</v>
      </c>
      <c r="M54" s="23" t="s">
        <v>486</v>
      </c>
      <c r="N54" s="23" t="s">
        <v>487</v>
      </c>
      <c r="O54" s="23" t="s">
        <v>488</v>
      </c>
      <c r="P54" s="23" t="s">
        <v>489</v>
      </c>
      <c r="Q54" s="23" t="s">
        <v>164</v>
      </c>
      <c r="R54" s="24">
        <v>1851</v>
      </c>
      <c r="S54" s="56">
        <f>Table2[[#This Row],[delivery_time_in_seconds]]/60</f>
        <v>30.85</v>
      </c>
      <c r="T54" s="23">
        <v>222</v>
      </c>
      <c r="U54" s="23">
        <v>222</v>
      </c>
      <c r="V54" s="23">
        <v>222</v>
      </c>
      <c r="W54" s="23">
        <v>199</v>
      </c>
      <c r="X54" s="23">
        <v>46</v>
      </c>
      <c r="Y54" s="23" t="s">
        <v>490</v>
      </c>
      <c r="Z54" s="23" t="str">
        <f>IF(Table2[[#This Row],[restaurant_customer_distance]]&lt;=2,"0-2 Km",IF(Table2[[#This Row],[restaurant_customer_distance]]&lt;=5,"2-5 Km",IF(Table2[[#This Row],[restaurant_customer_distance]]&lt;=8,"5-8 Km","8+Km")))</f>
        <v>2-5 Km</v>
      </c>
      <c r="AA54" s="23">
        <v>5</v>
      </c>
      <c r="AB54" s="23" t="s">
        <v>166</v>
      </c>
      <c r="AC54" s="23" t="s">
        <v>416</v>
      </c>
      <c r="AD54" s="23" t="b">
        <v>0</v>
      </c>
      <c r="AE54" s="23">
        <v>0</v>
      </c>
      <c r="AF54" s="25">
        <f t="shared" si="6"/>
        <v>45323</v>
      </c>
      <c r="AG54" s="26" t="str">
        <f>IFERROR(VLOOKUP(AC54,#REF!,2,0),AC54)</f>
        <v>Koramangala</v>
      </c>
      <c r="AH54" s="27" t="str">
        <f t="shared" si="7"/>
        <v>Baba Ganoush</v>
      </c>
      <c r="AI54" s="28" t="str">
        <f t="shared" si="3"/>
        <v>12.9398836</v>
      </c>
      <c r="AJ54" s="29" t="str">
        <f t="shared" si="4"/>
        <v>77.6252951</v>
      </c>
      <c r="AK54"/>
    </row>
    <row r="55" spans="1:37">
      <c r="A55" s="22">
        <v>165854296189400</v>
      </c>
      <c r="B55" s="22" t="str">
        <f>_xlfn.XLOOKUP(Table2[[#This Row],[order_id]],swiggy_order_items!A55:A224,swiggy_order_items!B55:B224)</f>
        <v>Melted Cheese Chicken Shawarma</v>
      </c>
      <c r="C55" s="22" t="str">
        <f>_xlfn.XLOOKUP(Table2[[#This Row],[name of the food]],swiggy_order_items!B55:B224,swiggy_order_items!E55:E224)</f>
        <v>Non_Veg</v>
      </c>
      <c r="D55" s="23" t="b">
        <v>1</v>
      </c>
      <c r="E55" s="23" t="s">
        <v>153</v>
      </c>
      <c r="F55" s="39">
        <f t="shared" si="5"/>
        <v>20.9</v>
      </c>
      <c r="G55" s="23" t="s">
        <v>433</v>
      </c>
      <c r="H55" s="23" t="s">
        <v>491</v>
      </c>
      <c r="I55" s="23" t="s">
        <v>492</v>
      </c>
      <c r="J55" s="23" t="s">
        <v>157</v>
      </c>
      <c r="K55" s="23" t="s">
        <v>158</v>
      </c>
      <c r="L55" s="23" t="s">
        <v>493</v>
      </c>
      <c r="M55" s="23" t="s">
        <v>437</v>
      </c>
      <c r="N55" s="23" t="s">
        <v>438</v>
      </c>
      <c r="O55" s="23" t="s">
        <v>439</v>
      </c>
      <c r="P55" s="23" t="s">
        <v>494</v>
      </c>
      <c r="Q55" s="23" t="s">
        <v>164</v>
      </c>
      <c r="R55" s="24">
        <v>3484</v>
      </c>
      <c r="S55" s="56">
        <f>Table2[[#This Row],[delivery_time_in_seconds]]/60</f>
        <v>58.06666666666667</v>
      </c>
      <c r="T55" s="23">
        <v>212</v>
      </c>
      <c r="U55" s="23">
        <v>212</v>
      </c>
      <c r="V55" s="23">
        <v>212</v>
      </c>
      <c r="W55" s="23">
        <v>209</v>
      </c>
      <c r="X55" s="23">
        <v>56</v>
      </c>
      <c r="Y55" s="23" t="s">
        <v>440</v>
      </c>
      <c r="Z55" s="23" t="str">
        <f>IF(Table2[[#This Row],[restaurant_customer_distance]]&lt;=2,"0-2 Km",IF(Table2[[#This Row],[restaurant_customer_distance]]&lt;=5,"2-5 Km",IF(Table2[[#This Row],[restaurant_customer_distance]]&lt;=8,"5-8 Km","8+Km")))</f>
        <v>5-8 Km</v>
      </c>
      <c r="AA55" s="23">
        <v>5.9</v>
      </c>
      <c r="AB55" s="23" t="s">
        <v>166</v>
      </c>
      <c r="AC55" s="23" t="s">
        <v>416</v>
      </c>
      <c r="AD55" s="23" t="b">
        <v>0</v>
      </c>
      <c r="AE55" s="23">
        <v>0</v>
      </c>
      <c r="AF55" s="25">
        <f t="shared" si="6"/>
        <v>45323</v>
      </c>
      <c r="AG55" s="26" t="str">
        <f>IFERROR(VLOOKUP(AC55,#REF!,2,0),AC55)</f>
        <v>Koramangala</v>
      </c>
      <c r="AH55" s="27" t="str">
        <f t="shared" si="7"/>
        <v>Smoky Docky</v>
      </c>
      <c r="AI55" s="28" t="str">
        <f t="shared" si="3"/>
        <v>12.934678</v>
      </c>
      <c r="AJ55" s="29" t="str">
        <f t="shared" si="4"/>
        <v>77.616812</v>
      </c>
      <c r="AK55"/>
    </row>
    <row r="56" spans="1:37">
      <c r="A56" s="22">
        <v>165409130967084</v>
      </c>
      <c r="B56" s="22" t="str">
        <f>_xlfn.XLOOKUP(Table2[[#This Row],[order_id]],swiggy_order_items!A56:A225,swiggy_order_items!B56:B225)</f>
        <v>Melted Cheese Chicken Shawarma</v>
      </c>
      <c r="C56" s="22" t="str">
        <f>_xlfn.XLOOKUP(Table2[[#This Row],[name of the food]],swiggy_order_items!B56:B225,swiggy_order_items!E56:E225)</f>
        <v>Non_Veg</v>
      </c>
      <c r="D56" s="23" t="b">
        <v>0</v>
      </c>
      <c r="E56" s="23" t="s">
        <v>167</v>
      </c>
      <c r="F56" s="39" t="str">
        <f t="shared" si="5"/>
        <v>NO OFFER</v>
      </c>
      <c r="G56" s="23" t="s">
        <v>168</v>
      </c>
      <c r="H56" s="23" t="s">
        <v>495</v>
      </c>
      <c r="I56" s="23" t="s">
        <v>496</v>
      </c>
      <c r="J56" s="23" t="s">
        <v>157</v>
      </c>
      <c r="K56" s="23" t="s">
        <v>158</v>
      </c>
      <c r="L56" s="23" t="s">
        <v>497</v>
      </c>
      <c r="M56" s="23" t="s">
        <v>437</v>
      </c>
      <c r="N56" s="23" t="s">
        <v>438</v>
      </c>
      <c r="O56" s="23" t="s">
        <v>439</v>
      </c>
      <c r="P56" s="23" t="s">
        <v>494</v>
      </c>
      <c r="Q56" s="23" t="s">
        <v>164</v>
      </c>
      <c r="R56" s="24">
        <v>1732</v>
      </c>
      <c r="S56" s="56">
        <f>Table2[[#This Row],[delivery_time_in_seconds]]/60</f>
        <v>28.866666666666667</v>
      </c>
      <c r="T56" s="23">
        <v>233</v>
      </c>
      <c r="U56" s="23">
        <v>233</v>
      </c>
      <c r="V56" s="23">
        <v>233</v>
      </c>
      <c r="W56" s="23">
        <v>209</v>
      </c>
      <c r="X56" s="23">
        <v>62</v>
      </c>
      <c r="Y56" s="23" t="s">
        <v>440</v>
      </c>
      <c r="Z56" s="23" t="str">
        <f>IF(Table2[[#This Row],[restaurant_customer_distance]]&lt;=2,"0-2 Km",IF(Table2[[#This Row],[restaurant_customer_distance]]&lt;=5,"2-5 Km",IF(Table2[[#This Row],[restaurant_customer_distance]]&lt;=8,"5-8 Km","8+Km")))</f>
        <v>5-8 Km</v>
      </c>
      <c r="AA56" s="23">
        <v>5.9</v>
      </c>
      <c r="AB56" s="23" t="s">
        <v>218</v>
      </c>
      <c r="AC56" s="23" t="s">
        <v>416</v>
      </c>
      <c r="AD56" s="23" t="b">
        <v>1</v>
      </c>
      <c r="AE56" s="23">
        <v>0</v>
      </c>
      <c r="AF56" s="25">
        <f t="shared" si="6"/>
        <v>45292</v>
      </c>
      <c r="AG56" s="26" t="str">
        <f>IFERROR(VLOOKUP(AC56,#REF!,2,0),AC56)</f>
        <v>Koramangala</v>
      </c>
      <c r="AH56" s="27" t="str">
        <f t="shared" si="7"/>
        <v>Smoky Docky</v>
      </c>
      <c r="AI56" s="28" t="str">
        <f t="shared" si="3"/>
        <v>12.934678</v>
      </c>
      <c r="AJ56" s="29" t="str">
        <f t="shared" si="4"/>
        <v>77.616812</v>
      </c>
      <c r="AK56"/>
    </row>
    <row r="57" spans="1:37">
      <c r="A57" s="22">
        <v>165341581288776</v>
      </c>
      <c r="B57" s="22" t="str">
        <f>_xlfn.XLOOKUP(Table2[[#This Row],[order_id]],swiggy_order_items!A57:A226,swiggy_order_items!B57:B226)</f>
        <v>Mexican Green Wave Pizza</v>
      </c>
      <c r="C57" s="22" t="str">
        <f>_xlfn.XLOOKUP(Table2[[#This Row],[name of the food]],swiggy_order_items!B57:B226,swiggy_order_items!E57:E226)</f>
        <v>Veg</v>
      </c>
      <c r="D57" s="23" t="b">
        <v>1</v>
      </c>
      <c r="E57" s="23" t="s">
        <v>153</v>
      </c>
      <c r="F57" s="39">
        <f t="shared" si="5"/>
        <v>50</v>
      </c>
      <c r="G57" s="23" t="s">
        <v>498</v>
      </c>
      <c r="H57" s="23" t="s">
        <v>499</v>
      </c>
      <c r="I57" s="23" t="s">
        <v>500</v>
      </c>
      <c r="J57" s="23" t="s">
        <v>157</v>
      </c>
      <c r="K57" s="23" t="s">
        <v>158</v>
      </c>
      <c r="L57" s="23">
        <v>0</v>
      </c>
      <c r="M57" s="23" t="s">
        <v>501</v>
      </c>
      <c r="N57" s="23" t="s">
        <v>502</v>
      </c>
      <c r="O57" s="23" t="s">
        <v>503</v>
      </c>
      <c r="P57" s="23" t="s">
        <v>504</v>
      </c>
      <c r="Q57" s="23" t="s">
        <v>164</v>
      </c>
      <c r="R57" s="24">
        <v>1409</v>
      </c>
      <c r="S57" s="56">
        <f>Table2[[#This Row],[delivery_time_in_seconds]]/60</f>
        <v>23.483333333333334</v>
      </c>
      <c r="T57" s="23">
        <v>599</v>
      </c>
      <c r="U57" s="23">
        <v>599</v>
      </c>
      <c r="V57" s="23">
        <v>599</v>
      </c>
      <c r="W57" s="23">
        <v>578</v>
      </c>
      <c r="X57" s="23">
        <v>0</v>
      </c>
      <c r="Y57" s="23" t="s">
        <v>505</v>
      </c>
      <c r="Z57" s="23" t="str">
        <f>IF(Table2[[#This Row],[restaurant_customer_distance]]&lt;=2,"0-2 Km",IF(Table2[[#This Row],[restaurant_customer_distance]]&lt;=5,"2-5 Km",IF(Table2[[#This Row],[restaurant_customer_distance]]&lt;=8,"5-8 Km","8+Km")))</f>
        <v>0-2 Km</v>
      </c>
      <c r="AA57" s="23">
        <v>0</v>
      </c>
      <c r="AB57" s="23" t="s">
        <v>166</v>
      </c>
      <c r="AC57" s="23" t="s">
        <v>240</v>
      </c>
      <c r="AD57" s="23" t="b">
        <v>0</v>
      </c>
      <c r="AE57" s="23">
        <v>0</v>
      </c>
      <c r="AF57" s="25">
        <f t="shared" si="6"/>
        <v>45292</v>
      </c>
      <c r="AG57" s="26" t="str">
        <f>IFERROR(VLOOKUP(AC57,#REF!,2,0),AC57)</f>
        <v>HSR Layout</v>
      </c>
      <c r="AH57" s="27" t="str">
        <f t="shared" si="7"/>
        <v>Domino's Pizza</v>
      </c>
      <c r="AI57" s="28" t="str">
        <f t="shared" si="3"/>
        <v>12.923037</v>
      </c>
      <c r="AJ57" s="29" t="str">
        <f t="shared" si="4"/>
        <v>77.646448</v>
      </c>
      <c r="AK57"/>
    </row>
    <row r="58" spans="1:37">
      <c r="A58" s="22">
        <v>164743294943602</v>
      </c>
      <c r="B58" s="22" t="str">
        <f>_xlfn.XLOOKUP(Table2[[#This Row],[order_id]],swiggy_order_items!A58:A227,swiggy_order_items!B58:B227)</f>
        <v>Naked Nutella Waffle</v>
      </c>
      <c r="C58" s="22" t="str">
        <f>_xlfn.XLOOKUP(Table2[[#This Row],[name of the food]],swiggy_order_items!B58:B227,swiggy_order_items!E58:E227)</f>
        <v>Veg</v>
      </c>
      <c r="D58" s="23" t="b">
        <v>1</v>
      </c>
      <c r="E58" s="23" t="s">
        <v>252</v>
      </c>
      <c r="F58" s="39">
        <f t="shared" si="5"/>
        <v>49.99</v>
      </c>
      <c r="G58" s="23" t="s">
        <v>506</v>
      </c>
      <c r="H58" s="23" t="s">
        <v>507</v>
      </c>
      <c r="I58" s="23" t="s">
        <v>508</v>
      </c>
      <c r="J58" s="23" t="s">
        <v>157</v>
      </c>
      <c r="K58" s="23" t="s">
        <v>158</v>
      </c>
      <c r="L58" s="23" t="s">
        <v>509</v>
      </c>
      <c r="M58" s="23" t="s">
        <v>510</v>
      </c>
      <c r="N58" s="23" t="s">
        <v>511</v>
      </c>
      <c r="O58" s="23" t="s">
        <v>512</v>
      </c>
      <c r="P58" s="23" t="s">
        <v>513</v>
      </c>
      <c r="Q58" s="23" t="s">
        <v>164</v>
      </c>
      <c r="R58" s="24">
        <v>1413</v>
      </c>
      <c r="S58" s="56">
        <f>Table2[[#This Row],[delivery_time_in_seconds]]/60</f>
        <v>23.55</v>
      </c>
      <c r="T58" s="23">
        <v>588</v>
      </c>
      <c r="U58" s="23">
        <v>588</v>
      </c>
      <c r="V58" s="23">
        <v>588</v>
      </c>
      <c r="W58" s="23">
        <v>586.66999999999996</v>
      </c>
      <c r="X58" s="23">
        <v>36</v>
      </c>
      <c r="Y58" s="23" t="s">
        <v>514</v>
      </c>
      <c r="Z58" s="23" t="str">
        <f>IF(Table2[[#This Row],[restaurant_customer_distance]]&lt;=2,"0-2 Km",IF(Table2[[#This Row],[restaurant_customer_distance]]&lt;=5,"2-5 Km",IF(Table2[[#This Row],[restaurant_customer_distance]]&lt;=8,"5-8 Km","8+Km")))</f>
        <v>0-2 Km</v>
      </c>
      <c r="AA58" s="23">
        <v>0.5</v>
      </c>
      <c r="AB58" s="23" t="s">
        <v>166</v>
      </c>
      <c r="AC58" s="23" t="s">
        <v>240</v>
      </c>
      <c r="AD58" s="23" t="b">
        <v>1</v>
      </c>
      <c r="AE58" s="23">
        <v>0</v>
      </c>
      <c r="AF58" s="25">
        <f t="shared" si="6"/>
        <v>45292</v>
      </c>
      <c r="AG58" s="26" t="str">
        <f>IFERROR(VLOOKUP(AC58,#REF!,2,0),AC58)</f>
        <v>HSR Layout</v>
      </c>
      <c r="AH58" s="27" t="str">
        <f t="shared" si="7"/>
        <v>The Belgian Waffle Co.</v>
      </c>
      <c r="AI58" s="28" t="str">
        <f t="shared" si="3"/>
        <v>12.916097</v>
      </c>
      <c r="AJ58" s="29" t="str">
        <f t="shared" si="4"/>
        <v>77.65184</v>
      </c>
      <c r="AK58"/>
    </row>
    <row r="59" spans="1:37">
      <c r="A59" s="22">
        <v>164714296625099</v>
      </c>
      <c r="B59" s="22" t="str">
        <f>_xlfn.XLOOKUP(Table2[[#This Row],[order_id]],swiggy_order_items!A59:A228,swiggy_order_items!B59:B228)</f>
        <v>Melted Cheese Chicken Shawarma</v>
      </c>
      <c r="C59" s="22" t="str">
        <f>_xlfn.XLOOKUP(Table2[[#This Row],[name of the food]],swiggy_order_items!B59:B228,swiggy_order_items!E59:E228)</f>
        <v>Non_Veg</v>
      </c>
      <c r="D59" s="23" t="b">
        <v>0</v>
      </c>
      <c r="E59" s="23" t="s">
        <v>167</v>
      </c>
      <c r="F59" s="39" t="str">
        <f t="shared" si="5"/>
        <v>NO OFFER</v>
      </c>
      <c r="G59" s="23" t="s">
        <v>168</v>
      </c>
      <c r="H59" s="23" t="s">
        <v>515</v>
      </c>
      <c r="I59" s="23" t="s">
        <v>516</v>
      </c>
      <c r="J59" s="23" t="s">
        <v>157</v>
      </c>
      <c r="K59" s="23" t="s">
        <v>158</v>
      </c>
      <c r="L59" s="23" t="s">
        <v>517</v>
      </c>
      <c r="M59" s="23" t="s">
        <v>437</v>
      </c>
      <c r="N59" s="23" t="s">
        <v>438</v>
      </c>
      <c r="O59" s="23" t="s">
        <v>439</v>
      </c>
      <c r="P59" s="23" t="s">
        <v>494</v>
      </c>
      <c r="Q59" s="23" t="s">
        <v>164</v>
      </c>
      <c r="R59" s="24">
        <v>2746</v>
      </c>
      <c r="S59" s="56">
        <f>Table2[[#This Row],[delivery_time_in_seconds]]/60</f>
        <v>45.766666666666666</v>
      </c>
      <c r="T59" s="23">
        <v>233</v>
      </c>
      <c r="U59" s="23">
        <v>233</v>
      </c>
      <c r="V59" s="23">
        <v>233</v>
      </c>
      <c r="W59" s="23">
        <v>209</v>
      </c>
      <c r="X59" s="23">
        <v>58</v>
      </c>
      <c r="Y59" s="23" t="s">
        <v>440</v>
      </c>
      <c r="Z59" s="23" t="str">
        <f>IF(Table2[[#This Row],[restaurant_customer_distance]]&lt;=2,"0-2 Km",IF(Table2[[#This Row],[restaurant_customer_distance]]&lt;=5,"2-5 Km",IF(Table2[[#This Row],[restaurant_customer_distance]]&lt;=8,"5-8 Km","8+Km")))</f>
        <v>5-8 Km</v>
      </c>
      <c r="AA59" s="23">
        <v>5.9</v>
      </c>
      <c r="AB59" s="23" t="s">
        <v>166</v>
      </c>
      <c r="AC59" s="23" t="s">
        <v>416</v>
      </c>
      <c r="AD59" s="23" t="b">
        <v>0</v>
      </c>
      <c r="AE59" s="23">
        <v>0</v>
      </c>
      <c r="AF59" s="25">
        <f t="shared" si="6"/>
        <v>45292</v>
      </c>
      <c r="AG59" s="26" t="str">
        <f>IFERROR(VLOOKUP(AC59,#REF!,2,0),AC59)</f>
        <v>Koramangala</v>
      </c>
      <c r="AH59" s="27" t="str">
        <f t="shared" si="7"/>
        <v>Smoky Docky</v>
      </c>
      <c r="AI59" s="28" t="str">
        <f t="shared" si="3"/>
        <v>12.934678</v>
      </c>
      <c r="AJ59" s="29" t="str">
        <f t="shared" si="4"/>
        <v>77.616812</v>
      </c>
      <c r="AK59"/>
    </row>
    <row r="60" spans="1:37">
      <c r="A60" s="22">
        <v>164376172877898</v>
      </c>
      <c r="B60" s="22" t="str">
        <f>_xlfn.XLOOKUP(Table2[[#This Row],[order_id]],swiggy_order_items!A60:A229,swiggy_order_items!B60:B229)</f>
        <v>Salted Caramel Brownie</v>
      </c>
      <c r="C60" s="22" t="str">
        <f>_xlfn.XLOOKUP(Table2[[#This Row],[name of the food]],swiggy_order_items!B60:B229,swiggy_order_items!E60:E229)</f>
        <v>Non_Veg</v>
      </c>
      <c r="D60" s="23" t="b">
        <v>1</v>
      </c>
      <c r="E60" s="23" t="s">
        <v>518</v>
      </c>
      <c r="F60" s="39">
        <f t="shared" si="5"/>
        <v>99.99</v>
      </c>
      <c r="G60" s="23" t="s">
        <v>519</v>
      </c>
      <c r="H60" s="23" t="s">
        <v>520</v>
      </c>
      <c r="I60" s="23" t="s">
        <v>521</v>
      </c>
      <c r="J60" s="23" t="s">
        <v>157</v>
      </c>
      <c r="K60" s="23" t="s">
        <v>158</v>
      </c>
      <c r="L60" s="23" t="s">
        <v>522</v>
      </c>
      <c r="M60" s="23" t="s">
        <v>456</v>
      </c>
      <c r="N60" s="23" t="s">
        <v>182</v>
      </c>
      <c r="O60" s="23" t="s">
        <v>457</v>
      </c>
      <c r="P60" s="23" t="s">
        <v>340</v>
      </c>
      <c r="Q60" s="23" t="s">
        <v>164</v>
      </c>
      <c r="R60" s="24">
        <v>2411</v>
      </c>
      <c r="S60" s="56">
        <f>Table2[[#This Row],[delivery_time_in_seconds]]/60</f>
        <v>40.18333333333333</v>
      </c>
      <c r="T60" s="23">
        <v>886</v>
      </c>
      <c r="U60" s="23">
        <v>886</v>
      </c>
      <c r="V60" s="23">
        <v>886</v>
      </c>
      <c r="W60" s="23">
        <v>913.5</v>
      </c>
      <c r="X60" s="23">
        <v>78</v>
      </c>
      <c r="Y60" s="23" t="s">
        <v>458</v>
      </c>
      <c r="Z60" s="23" t="str">
        <f>IF(Table2[[#This Row],[restaurant_customer_distance]]&lt;=2,"0-2 Km",IF(Table2[[#This Row],[restaurant_customer_distance]]&lt;=5,"2-5 Km",IF(Table2[[#This Row],[restaurant_customer_distance]]&lt;=8,"5-8 Km","8+Km")))</f>
        <v>5-8 Km</v>
      </c>
      <c r="AA60" s="23">
        <v>6.2</v>
      </c>
      <c r="AB60" s="23" t="s">
        <v>166</v>
      </c>
      <c r="AC60" s="23" t="s">
        <v>459</v>
      </c>
      <c r="AD60" s="23" t="b">
        <v>1</v>
      </c>
      <c r="AE60" s="23">
        <v>0</v>
      </c>
      <c r="AF60" s="25">
        <f t="shared" si="6"/>
        <v>45292</v>
      </c>
      <c r="AG60" s="26" t="str">
        <f>IFERROR(VLOOKUP(AC60,#REF!,2,0),AC60)</f>
        <v>Devarabeesanahalli</v>
      </c>
      <c r="AH60" s="27" t="str">
        <f t="shared" si="7"/>
        <v>The Ganache Factory</v>
      </c>
      <c r="AI60" s="28" t="str">
        <f t="shared" si="3"/>
        <v>12.927366</v>
      </c>
      <c r="AJ60" s="29" t="str">
        <f t="shared" si="4"/>
        <v>77.692146</v>
      </c>
      <c r="AK60"/>
    </row>
    <row r="61" spans="1:37">
      <c r="A61" s="22">
        <v>164376027513893</v>
      </c>
      <c r="B61" s="22" t="str">
        <f>_xlfn.XLOOKUP(Table2[[#This Row],[order_id]],swiggy_order_items!A61:A230,swiggy_order_items!B61:B230)</f>
        <v>Nutella Stuffed Chocochips Cookie(1 Pc)</v>
      </c>
      <c r="C61" s="22" t="str">
        <f>_xlfn.XLOOKUP(Table2[[#This Row],[name of the food]],swiggy_order_items!B61:B230,swiggy_order_items!E61:E230)</f>
        <v>Non_Veg</v>
      </c>
      <c r="D61" s="23" t="b">
        <v>1</v>
      </c>
      <c r="E61" s="23" t="s">
        <v>518</v>
      </c>
      <c r="F61" s="39">
        <f t="shared" si="5"/>
        <v>99.99</v>
      </c>
      <c r="G61" s="23" t="s">
        <v>523</v>
      </c>
      <c r="H61" s="23" t="s">
        <v>524</v>
      </c>
      <c r="I61" s="23" t="s">
        <v>525</v>
      </c>
      <c r="J61" s="23" t="s">
        <v>157</v>
      </c>
      <c r="K61" s="23" t="s">
        <v>321</v>
      </c>
      <c r="L61" s="23">
        <v>0</v>
      </c>
      <c r="M61" s="23" t="s">
        <v>181</v>
      </c>
      <c r="N61" s="23" t="s">
        <v>182</v>
      </c>
      <c r="O61" s="23" t="s">
        <v>183</v>
      </c>
      <c r="P61" s="23" t="s">
        <v>184</v>
      </c>
      <c r="Q61" s="23" t="s">
        <v>164</v>
      </c>
      <c r="R61" s="24">
        <v>0</v>
      </c>
      <c r="S61" s="56">
        <f>Table2[[#This Row],[delivery_time_in_seconds]]/60</f>
        <v>0</v>
      </c>
      <c r="T61" s="23">
        <v>885</v>
      </c>
      <c r="U61" s="23">
        <v>885</v>
      </c>
      <c r="V61" s="23">
        <v>885</v>
      </c>
      <c r="W61" s="23">
        <v>913.5</v>
      </c>
      <c r="X61" s="23">
        <v>92</v>
      </c>
      <c r="Y61" s="23" t="s">
        <v>185</v>
      </c>
      <c r="Z61" s="23" t="str">
        <f>IF(Table2[[#This Row],[restaurant_customer_distance]]&lt;=2,"0-2 Km",IF(Table2[[#This Row],[restaurant_customer_distance]]&lt;=5,"2-5 Km",IF(Table2[[#This Row],[restaurant_customer_distance]]&lt;=8,"5-8 Km","8+Km")))</f>
        <v>8+Km</v>
      </c>
      <c r="AA61" s="23">
        <v>8.4</v>
      </c>
      <c r="AB61" s="23" t="s">
        <v>166</v>
      </c>
      <c r="AC61" s="23" t="s">
        <v>186</v>
      </c>
      <c r="AD61" s="23" t="b">
        <v>0</v>
      </c>
      <c r="AE61" s="23">
        <v>0</v>
      </c>
      <c r="AF61" s="25">
        <f t="shared" si="6"/>
        <v>45292</v>
      </c>
      <c r="AG61" s="26" t="str">
        <f>IFERROR(VLOOKUP(AC61,#REF!,2,0),AC61)</f>
        <v>Jayanagar</v>
      </c>
      <c r="AH61" s="27" t="str">
        <f t="shared" si="7"/>
        <v>The Ganache Factory</v>
      </c>
      <c r="AI61" s="28" t="str">
        <f t="shared" si="3"/>
        <v>12.91835714</v>
      </c>
      <c r="AJ61" s="29" t="str">
        <f t="shared" si="4"/>
        <v>77.578127</v>
      </c>
      <c r="AK61"/>
    </row>
    <row r="62" spans="1:37">
      <c r="A62" s="22">
        <v>164191765873335</v>
      </c>
      <c r="B62" s="22" t="str">
        <f>_xlfn.XLOOKUP(Table2[[#This Row],[order_id]],swiggy_order_items!A62:A231,swiggy_order_items!B62:B231)</f>
        <v>Chicken Kheema Cheese Paratha</v>
      </c>
      <c r="C62" s="22" t="str">
        <f>_xlfn.XLOOKUP(Table2[[#This Row],[name of the food]],swiggy_order_items!B62:B231,swiggy_order_items!E62:E231)</f>
        <v>Non_Veg</v>
      </c>
      <c r="D62" s="23" t="b">
        <v>1</v>
      </c>
      <c r="E62" s="23" t="s">
        <v>387</v>
      </c>
      <c r="F62" s="39">
        <f t="shared" si="5"/>
        <v>99.99</v>
      </c>
      <c r="G62" s="23" t="s">
        <v>526</v>
      </c>
      <c r="H62" s="23" t="s">
        <v>527</v>
      </c>
      <c r="I62" s="23" t="s">
        <v>528</v>
      </c>
      <c r="J62" s="23" t="s">
        <v>157</v>
      </c>
      <c r="K62" s="23" t="s">
        <v>158</v>
      </c>
      <c r="L62" s="23" t="s">
        <v>529</v>
      </c>
      <c r="M62" s="23" t="s">
        <v>530</v>
      </c>
      <c r="N62" s="23" t="s">
        <v>531</v>
      </c>
      <c r="O62" s="23" t="s">
        <v>532</v>
      </c>
      <c r="P62" s="23" t="s">
        <v>489</v>
      </c>
      <c r="Q62" s="23" t="s">
        <v>164</v>
      </c>
      <c r="R62" s="24">
        <v>3551</v>
      </c>
      <c r="S62" s="56">
        <f>Table2[[#This Row],[delivery_time_in_seconds]]/60</f>
        <v>59.18333333333333</v>
      </c>
      <c r="T62" s="23">
        <v>466</v>
      </c>
      <c r="U62" s="23">
        <v>466</v>
      </c>
      <c r="V62" s="23">
        <v>466</v>
      </c>
      <c r="W62" s="23">
        <v>496</v>
      </c>
      <c r="X62" s="23">
        <v>52</v>
      </c>
      <c r="Y62" s="23" t="s">
        <v>533</v>
      </c>
      <c r="Z62" s="23" t="str">
        <f>IF(Table2[[#This Row],[restaurant_customer_distance]]&lt;=2,"0-2 Km",IF(Table2[[#This Row],[restaurant_customer_distance]]&lt;=5,"2-5 Km",IF(Table2[[#This Row],[restaurant_customer_distance]]&lt;=8,"5-8 Km","8+Km")))</f>
        <v>5-8 Km</v>
      </c>
      <c r="AA62" s="23">
        <v>5.2</v>
      </c>
      <c r="AB62" s="23" t="s">
        <v>166</v>
      </c>
      <c r="AC62" s="23" t="s">
        <v>416</v>
      </c>
      <c r="AD62" s="23" t="b">
        <v>0</v>
      </c>
      <c r="AE62" s="23">
        <v>0</v>
      </c>
      <c r="AF62" s="25">
        <f t="shared" si="6"/>
        <v>45292</v>
      </c>
      <c r="AG62" s="26" t="str">
        <f>IFERROR(VLOOKUP(AC62,#REF!,2,0),AC62)</f>
        <v>Koramangala</v>
      </c>
      <c r="AH62" s="27" t="str">
        <f t="shared" si="7"/>
        <v>Paratha Envy</v>
      </c>
      <c r="AI62" s="28" t="str">
        <f t="shared" si="3"/>
        <v>12.937246</v>
      </c>
      <c r="AJ62" s="29" t="str">
        <f t="shared" si="4"/>
        <v>77.624643</v>
      </c>
      <c r="AK62"/>
    </row>
    <row r="63" spans="1:37">
      <c r="A63" s="22">
        <v>163711888473406</v>
      </c>
      <c r="B63" s="22" t="str">
        <f>_xlfn.XLOOKUP(Table2[[#This Row],[order_id]],swiggy_order_items!A63:A232,swiggy_order_items!B63:B232)</f>
        <v>Big Spicy Paneer Wrap</v>
      </c>
      <c r="C63" s="22" t="str">
        <f>_xlfn.XLOOKUP(Table2[[#This Row],[name of the food]],swiggy_order_items!B63:B232,swiggy_order_items!E63:E232)</f>
        <v>Veg</v>
      </c>
      <c r="D63" s="23" t="b">
        <v>0</v>
      </c>
      <c r="E63" s="23" t="s">
        <v>167</v>
      </c>
      <c r="F63" s="39" t="str">
        <f t="shared" si="5"/>
        <v>NO OFFER</v>
      </c>
      <c r="G63" s="23" t="s">
        <v>168</v>
      </c>
      <c r="H63" s="23" t="s">
        <v>534</v>
      </c>
      <c r="I63" s="23" t="s">
        <v>535</v>
      </c>
      <c r="J63" s="23" t="s">
        <v>157</v>
      </c>
      <c r="K63" s="23" t="s">
        <v>158</v>
      </c>
      <c r="L63" s="23" t="s">
        <v>536</v>
      </c>
      <c r="M63" s="23" t="s">
        <v>537</v>
      </c>
      <c r="N63" s="23" t="s">
        <v>538</v>
      </c>
      <c r="O63" s="23" t="s">
        <v>539</v>
      </c>
      <c r="P63" s="23" t="s">
        <v>240</v>
      </c>
      <c r="Q63" s="23" t="s">
        <v>164</v>
      </c>
      <c r="R63" s="24">
        <v>1000</v>
      </c>
      <c r="S63" s="56">
        <f>Table2[[#This Row],[delivery_time_in_seconds]]/60</f>
        <v>16.666666666666668</v>
      </c>
      <c r="T63" s="23">
        <v>270</v>
      </c>
      <c r="U63" s="23">
        <v>270</v>
      </c>
      <c r="V63" s="23">
        <v>270</v>
      </c>
      <c r="W63" s="23">
        <v>220</v>
      </c>
      <c r="X63" s="23">
        <v>36</v>
      </c>
      <c r="Y63" s="23" t="s">
        <v>540</v>
      </c>
      <c r="Z63" s="23" t="str">
        <f>IF(Table2[[#This Row],[restaurant_customer_distance]]&lt;=2,"0-2 Km",IF(Table2[[#This Row],[restaurant_customer_distance]]&lt;=5,"2-5 Km",IF(Table2[[#This Row],[restaurant_customer_distance]]&lt;=8,"5-8 Km","8+Km")))</f>
        <v>0-2 Km</v>
      </c>
      <c r="AA63" s="23">
        <v>0.4</v>
      </c>
      <c r="AB63" s="23" t="s">
        <v>166</v>
      </c>
      <c r="AC63" s="23" t="s">
        <v>240</v>
      </c>
      <c r="AD63" s="23" t="b">
        <v>0</v>
      </c>
      <c r="AE63" s="23">
        <v>0</v>
      </c>
      <c r="AF63" s="25">
        <f t="shared" si="6"/>
        <v>45292</v>
      </c>
      <c r="AG63" s="26" t="str">
        <f>IFERROR(VLOOKUP(AC63,#REF!,2,0),AC63)</f>
        <v>HSR Layout</v>
      </c>
      <c r="AH63" s="27" t="str">
        <f t="shared" si="7"/>
        <v>McDonald's</v>
      </c>
      <c r="AI63" s="28" t="str">
        <f t="shared" si="3"/>
        <v>12.91207388</v>
      </c>
      <c r="AJ63" s="29" t="str">
        <f t="shared" si="4"/>
        <v>77.6380679</v>
      </c>
      <c r="AK63"/>
    </row>
    <row r="64" spans="1:37">
      <c r="A64" s="22">
        <v>163004675209983</v>
      </c>
      <c r="B64" s="22" t="str">
        <f>_xlfn.XLOOKUP(Table2[[#This Row],[order_id]],swiggy_order_items!A64:A233,swiggy_order_items!B64:B233)</f>
        <v>Nutella Cheese Cake</v>
      </c>
      <c r="C64" s="22" t="str">
        <f>_xlfn.XLOOKUP(Table2[[#This Row],[name of the food]],swiggy_order_items!B64:B233,swiggy_order_items!E64:E233)</f>
        <v>Non_Veg</v>
      </c>
      <c r="D64" s="23" t="b">
        <v>1</v>
      </c>
      <c r="E64" s="23" t="s">
        <v>252</v>
      </c>
      <c r="F64" s="39">
        <f t="shared" si="5"/>
        <v>35.700000000000003</v>
      </c>
      <c r="G64" s="23" t="s">
        <v>541</v>
      </c>
      <c r="H64" s="23" t="s">
        <v>542</v>
      </c>
      <c r="I64" s="23" t="s">
        <v>543</v>
      </c>
      <c r="J64" s="23" t="s">
        <v>157</v>
      </c>
      <c r="K64" s="23" t="s">
        <v>158</v>
      </c>
      <c r="L64" s="23" t="s">
        <v>544</v>
      </c>
      <c r="M64" s="23" t="s">
        <v>456</v>
      </c>
      <c r="N64" s="23" t="s">
        <v>182</v>
      </c>
      <c r="O64" s="23" t="s">
        <v>457</v>
      </c>
      <c r="P64" s="23" t="s">
        <v>340</v>
      </c>
      <c r="Q64" s="23" t="s">
        <v>164</v>
      </c>
      <c r="R64" s="24">
        <v>2664</v>
      </c>
      <c r="S64" s="56">
        <f>Table2[[#This Row],[delivery_time_in_seconds]]/60</f>
        <v>44.4</v>
      </c>
      <c r="T64" s="23">
        <v>342</v>
      </c>
      <c r="U64" s="23">
        <v>342</v>
      </c>
      <c r="V64" s="23">
        <v>342</v>
      </c>
      <c r="W64" s="23">
        <v>357</v>
      </c>
      <c r="X64" s="23">
        <v>76</v>
      </c>
      <c r="Y64" s="23" t="s">
        <v>458</v>
      </c>
      <c r="Z64" s="23" t="str">
        <f>IF(Table2[[#This Row],[restaurant_customer_distance]]&lt;=2,"0-2 Km",IF(Table2[[#This Row],[restaurant_customer_distance]]&lt;=5,"2-5 Km",IF(Table2[[#This Row],[restaurant_customer_distance]]&lt;=8,"5-8 Km","8+Km")))</f>
        <v>5-8 Km</v>
      </c>
      <c r="AA64" s="23">
        <v>6.2</v>
      </c>
      <c r="AB64" s="23" t="s">
        <v>166</v>
      </c>
      <c r="AC64" s="23" t="s">
        <v>459</v>
      </c>
      <c r="AD64" s="23" t="b">
        <v>0</v>
      </c>
      <c r="AE64" s="23">
        <v>0</v>
      </c>
      <c r="AF64" s="25">
        <f t="shared" si="6"/>
        <v>45261</v>
      </c>
      <c r="AG64" s="26" t="str">
        <f>IFERROR(VLOOKUP(AC64,#REF!,2,0),AC64)</f>
        <v>Devarabeesanahalli</v>
      </c>
      <c r="AH64" s="27" t="str">
        <f t="shared" si="7"/>
        <v>The Ganache Factory</v>
      </c>
      <c r="AI64" s="28" t="str">
        <f t="shared" si="3"/>
        <v>12.927366</v>
      </c>
      <c r="AJ64" s="29" t="str">
        <f t="shared" si="4"/>
        <v>77.692146</v>
      </c>
      <c r="AK64"/>
    </row>
    <row r="65" spans="1:37">
      <c r="A65" s="22">
        <v>163004361179135</v>
      </c>
      <c r="B65" s="22" t="str">
        <f>_xlfn.XLOOKUP(Table2[[#This Row],[order_id]],swiggy_order_items!A65:A234,swiggy_order_items!B65:B234)</f>
        <v>Veg. Ramyun</v>
      </c>
      <c r="C65" s="22" t="str">
        <f>_xlfn.XLOOKUP(Table2[[#This Row],[name of the food]],swiggy_order_items!B65:B234,swiggy_order_items!E65:E234)</f>
        <v>Veg</v>
      </c>
      <c r="D65" s="23" t="b">
        <v>0</v>
      </c>
      <c r="E65" s="23" t="s">
        <v>167</v>
      </c>
      <c r="F65" s="39" t="str">
        <f t="shared" si="5"/>
        <v>NO OFFER</v>
      </c>
      <c r="G65" s="23" t="s">
        <v>168</v>
      </c>
      <c r="H65" s="23" t="s">
        <v>545</v>
      </c>
      <c r="I65" s="23" t="s">
        <v>546</v>
      </c>
      <c r="J65" s="23" t="s">
        <v>157</v>
      </c>
      <c r="K65" s="23" t="s">
        <v>158</v>
      </c>
      <c r="L65" s="23" t="s">
        <v>547</v>
      </c>
      <c r="M65" s="23" t="s">
        <v>421</v>
      </c>
      <c r="N65" s="23" t="s">
        <v>214</v>
      </c>
      <c r="O65" s="23" t="s">
        <v>422</v>
      </c>
      <c r="P65" s="23" t="s">
        <v>405</v>
      </c>
      <c r="Q65" s="23" t="s">
        <v>164</v>
      </c>
      <c r="R65" s="24">
        <v>1889</v>
      </c>
      <c r="S65" s="56">
        <f>Table2[[#This Row],[delivery_time_in_seconds]]/60</f>
        <v>31.483333333333334</v>
      </c>
      <c r="T65" s="23">
        <v>467</v>
      </c>
      <c r="U65" s="23">
        <v>467</v>
      </c>
      <c r="V65" s="23">
        <v>467</v>
      </c>
      <c r="W65" s="23">
        <v>400</v>
      </c>
      <c r="X65" s="23">
        <v>31</v>
      </c>
      <c r="Y65" s="23" t="s">
        <v>548</v>
      </c>
      <c r="Z65" s="23" t="str">
        <f>IF(Table2[[#This Row],[restaurant_customer_distance]]&lt;=2,"0-2 Km",IF(Table2[[#This Row],[restaurant_customer_distance]]&lt;=5,"2-5 Km",IF(Table2[[#This Row],[restaurant_customer_distance]]&lt;=8,"5-8 Km","8+Km")))</f>
        <v>2-5 Km</v>
      </c>
      <c r="AA65" s="23">
        <v>2.1</v>
      </c>
      <c r="AB65" s="23" t="s">
        <v>166</v>
      </c>
      <c r="AC65" s="23" t="s">
        <v>240</v>
      </c>
      <c r="AD65" s="23" t="b">
        <v>0</v>
      </c>
      <c r="AE65" s="23">
        <v>0</v>
      </c>
      <c r="AF65" s="25">
        <f t="shared" si="6"/>
        <v>45261</v>
      </c>
      <c r="AG65" s="26" t="str">
        <f>IFERROR(VLOOKUP(AC65,#REF!,2,0),AC65)</f>
        <v>HSR Layout</v>
      </c>
      <c r="AH65" s="27" t="str">
        <f t="shared" si="7"/>
        <v>Daily Sushi</v>
      </c>
      <c r="AI65" s="28" t="str">
        <f t="shared" si="3"/>
        <v>12.909368</v>
      </c>
      <c r="AJ65" s="29" t="str">
        <f t="shared" si="4"/>
        <v>77.638656</v>
      </c>
      <c r="AK65"/>
    </row>
    <row r="66" spans="1:37">
      <c r="A66" s="22">
        <v>162553743923962</v>
      </c>
      <c r="B66" s="22" t="str">
        <f>_xlfn.XLOOKUP(Table2[[#This Row],[order_id]],swiggy_order_items!A66:A235,swiggy_order_items!B66:B235)</f>
        <v>Trapper Creek (Buff)</v>
      </c>
      <c r="C66" s="22" t="str">
        <f>_xlfn.XLOOKUP(Table2[[#This Row],[name of the food]],swiggy_order_items!B66:B235,swiggy_order_items!E66:E235)</f>
        <v>Non_Veg</v>
      </c>
      <c r="D66" s="23" t="b">
        <v>1</v>
      </c>
      <c r="E66" s="23" t="s">
        <v>549</v>
      </c>
      <c r="F66" s="39">
        <f t="shared" ref="F66:F97" si="8">IFERROR(TRUNC((_xlfn.TEXTBEFORE(_xlfn.TEXTAFTER(G66,"""total_offer_discount"":"),",")),2),"NO OFFER")</f>
        <v>174.99</v>
      </c>
      <c r="G66" s="23" t="s">
        <v>550</v>
      </c>
      <c r="H66" s="23" t="s">
        <v>551</v>
      </c>
      <c r="I66" s="23" t="s">
        <v>552</v>
      </c>
      <c r="J66" s="23" t="s">
        <v>157</v>
      </c>
      <c r="K66" s="23" t="s">
        <v>158</v>
      </c>
      <c r="L66" s="23" t="s">
        <v>553</v>
      </c>
      <c r="M66" s="23" t="s">
        <v>554</v>
      </c>
      <c r="N66" s="23" t="s">
        <v>555</v>
      </c>
      <c r="O66" s="23" t="s">
        <v>556</v>
      </c>
      <c r="P66" s="23" t="s">
        <v>557</v>
      </c>
      <c r="Q66" s="23" t="s">
        <v>164</v>
      </c>
      <c r="R66" s="24">
        <v>1788</v>
      </c>
      <c r="S66" s="56">
        <f>Table2[[#This Row],[delivery_time_in_seconds]]/60</f>
        <v>29.8</v>
      </c>
      <c r="T66" s="23">
        <v>788</v>
      </c>
      <c r="U66" s="23">
        <v>788</v>
      </c>
      <c r="V66" s="23">
        <v>788</v>
      </c>
      <c r="W66" s="23">
        <v>920</v>
      </c>
      <c r="X66" s="23">
        <v>40</v>
      </c>
      <c r="Y66" s="23" t="s">
        <v>558</v>
      </c>
      <c r="Z66" s="23" t="str">
        <f>IF(Table2[[#This Row],[restaurant_customer_distance]]&lt;=2,"0-2 Km",IF(Table2[[#This Row],[restaurant_customer_distance]]&lt;=5,"2-5 Km",IF(Table2[[#This Row],[restaurant_customer_distance]]&lt;=8,"5-8 Km","8+Km")))</f>
        <v>2-5 Km</v>
      </c>
      <c r="AA66" s="23">
        <v>2.8</v>
      </c>
      <c r="AB66" s="23" t="s">
        <v>166</v>
      </c>
      <c r="AC66" s="23" t="s">
        <v>559</v>
      </c>
      <c r="AD66" s="23" t="b">
        <v>0</v>
      </c>
      <c r="AE66" s="23">
        <v>0</v>
      </c>
      <c r="AF66" s="25">
        <f t="shared" ref="AF66:AF97" si="9">EOMONTH(H66,-1)+1</f>
        <v>45261</v>
      </c>
      <c r="AG66" s="26" t="str">
        <f>IFERROR(VLOOKUP(AC66,#REF!,2,0),AC66)</f>
        <v>ITI layout, Hosapalya</v>
      </c>
      <c r="AH66" s="27" t="str">
        <f t="shared" ref="AH66:AH97" si="10">IFERROR(TRIM(_xlfn.TEXTBEFORE(N66,"-")),N66)</f>
        <v>Burger Seigneur</v>
      </c>
      <c r="AI66" s="28" t="str">
        <f t="shared" si="3"/>
        <v>12.90073452</v>
      </c>
      <c r="AJ66" s="29" t="str">
        <f t="shared" si="4"/>
        <v>77.6400283</v>
      </c>
      <c r="AK66"/>
    </row>
    <row r="67" spans="1:37">
      <c r="A67" s="22">
        <v>162461263812077</v>
      </c>
      <c r="B67" s="22" t="str">
        <f>_xlfn.XLOOKUP(Table2[[#This Row],[order_id]],swiggy_order_items!A67:A236,swiggy_order_items!B67:B236)</f>
        <v>Paris Delice (Buff)</v>
      </c>
      <c r="C67" s="22" t="str">
        <f>_xlfn.XLOOKUP(Table2[[#This Row],[name of the food]],swiggy_order_items!B67:B236,swiggy_order_items!E67:E236)</f>
        <v>Non_Veg</v>
      </c>
      <c r="D67" s="23" t="b">
        <v>1</v>
      </c>
      <c r="E67" s="23" t="s">
        <v>176</v>
      </c>
      <c r="F67" s="39">
        <f t="shared" si="8"/>
        <v>80</v>
      </c>
      <c r="G67" s="23" t="s">
        <v>560</v>
      </c>
      <c r="H67" s="23" t="s">
        <v>561</v>
      </c>
      <c r="I67" s="23" t="s">
        <v>562</v>
      </c>
      <c r="J67" s="23" t="s">
        <v>157</v>
      </c>
      <c r="K67" s="23" t="s">
        <v>158</v>
      </c>
      <c r="L67" s="23" t="s">
        <v>563</v>
      </c>
      <c r="M67" s="23" t="s">
        <v>554</v>
      </c>
      <c r="N67" s="23" t="s">
        <v>555</v>
      </c>
      <c r="O67" s="23" t="s">
        <v>556</v>
      </c>
      <c r="P67" s="23" t="s">
        <v>557</v>
      </c>
      <c r="Q67" s="23" t="s">
        <v>164</v>
      </c>
      <c r="R67" s="24">
        <v>1389</v>
      </c>
      <c r="S67" s="56">
        <f>Table2[[#This Row],[delivery_time_in_seconds]]/60</f>
        <v>23.15</v>
      </c>
      <c r="T67" s="23">
        <v>372</v>
      </c>
      <c r="U67" s="23">
        <v>372</v>
      </c>
      <c r="V67" s="23">
        <v>372</v>
      </c>
      <c r="W67" s="23">
        <v>430</v>
      </c>
      <c r="X67" s="23">
        <v>40</v>
      </c>
      <c r="Y67" s="23" t="s">
        <v>558</v>
      </c>
      <c r="Z67" s="23" t="str">
        <f>IF(Table2[[#This Row],[restaurant_customer_distance]]&lt;=2,"0-2 Km",IF(Table2[[#This Row],[restaurant_customer_distance]]&lt;=5,"2-5 Km",IF(Table2[[#This Row],[restaurant_customer_distance]]&lt;=8,"5-8 Km","8+Km")))</f>
        <v>2-5 Km</v>
      </c>
      <c r="AA67" s="23">
        <v>2.7</v>
      </c>
      <c r="AB67" s="23" t="s">
        <v>166</v>
      </c>
      <c r="AC67" s="23" t="s">
        <v>559</v>
      </c>
      <c r="AD67" s="23" t="b">
        <v>1</v>
      </c>
      <c r="AE67" s="23">
        <v>0</v>
      </c>
      <c r="AF67" s="25">
        <f t="shared" si="9"/>
        <v>45261</v>
      </c>
      <c r="AG67" s="26" t="str">
        <f>IFERROR(VLOOKUP(AC67,#REF!,2,0),AC67)</f>
        <v>ITI layout, Hosapalya</v>
      </c>
      <c r="AH67" s="27" t="str">
        <f t="shared" si="10"/>
        <v>Burger Seigneur</v>
      </c>
      <c r="AI67" s="28" t="str">
        <f t="shared" ref="AI67:AI108" si="11">_xlfn.TEXTBEFORE(Y67,",")</f>
        <v>12.90073452</v>
      </c>
      <c r="AJ67" s="29" t="str">
        <f t="shared" ref="AJ67:AJ108" si="12">_xlfn.TEXTAFTER(Y67,",")</f>
        <v>77.6400283</v>
      </c>
      <c r="AK67"/>
    </row>
    <row r="68" spans="1:37">
      <c r="A68" s="22">
        <v>161080636531967</v>
      </c>
      <c r="B68" s="22" t="str">
        <f>_xlfn.XLOOKUP(Table2[[#This Row],[order_id]],swiggy_order_items!A68:A237,swiggy_order_items!B68:B237)</f>
        <v>Tandoori Chicken Tikka Cheese Pull Sandwich</v>
      </c>
      <c r="C68" s="22" t="str">
        <f>_xlfn.XLOOKUP(Table2[[#This Row],[name of the food]],swiggy_order_items!B68:B237,swiggy_order_items!E68:E237)</f>
        <v>Non_Veg</v>
      </c>
      <c r="D68" s="23" t="b">
        <v>1</v>
      </c>
      <c r="E68" s="23" t="s">
        <v>153</v>
      </c>
      <c r="F68" s="39">
        <f t="shared" si="8"/>
        <v>80</v>
      </c>
      <c r="G68" s="23" t="s">
        <v>564</v>
      </c>
      <c r="H68" s="23" t="s">
        <v>565</v>
      </c>
      <c r="I68" s="23" t="s">
        <v>566</v>
      </c>
      <c r="J68" s="23" t="s">
        <v>157</v>
      </c>
      <c r="K68" s="23" t="s">
        <v>158</v>
      </c>
      <c r="L68" s="23" t="s">
        <v>567</v>
      </c>
      <c r="M68" s="23" t="s">
        <v>382</v>
      </c>
      <c r="N68" s="23" t="s">
        <v>383</v>
      </c>
      <c r="O68" s="23" t="s">
        <v>384</v>
      </c>
      <c r="P68" s="23" t="s">
        <v>238</v>
      </c>
      <c r="Q68" s="23" t="s">
        <v>164</v>
      </c>
      <c r="R68" s="24">
        <v>1080</v>
      </c>
      <c r="S68" s="56">
        <f>Table2[[#This Row],[delivery_time_in_seconds]]/60</f>
        <v>18</v>
      </c>
      <c r="T68" s="23">
        <v>355</v>
      </c>
      <c r="U68" s="23">
        <v>355</v>
      </c>
      <c r="V68" s="23">
        <v>355</v>
      </c>
      <c r="W68" s="23">
        <v>399</v>
      </c>
      <c r="X68" s="23">
        <v>33</v>
      </c>
      <c r="Y68" s="23" t="s">
        <v>385</v>
      </c>
      <c r="Z68" s="23" t="str">
        <f>IF(Table2[[#This Row],[restaurant_customer_distance]]&lt;=2,"0-2 Km",IF(Table2[[#This Row],[restaurant_customer_distance]]&lt;=5,"2-5 Km",IF(Table2[[#This Row],[restaurant_customer_distance]]&lt;=8,"5-8 Km","8+Km")))</f>
        <v>0-2 Km</v>
      </c>
      <c r="AA68" s="23">
        <v>1.9</v>
      </c>
      <c r="AB68" s="23" t="s">
        <v>166</v>
      </c>
      <c r="AC68" s="23" t="s">
        <v>386</v>
      </c>
      <c r="AD68" s="23" t="b">
        <v>1</v>
      </c>
      <c r="AE68" s="23">
        <v>0</v>
      </c>
      <c r="AF68" s="25">
        <f t="shared" si="9"/>
        <v>45261</v>
      </c>
      <c r="AG68" s="26" t="str">
        <f>IFERROR(VLOOKUP(AC68,#REF!,2,0),AC68)</f>
        <v>Hsr Layout</v>
      </c>
      <c r="AH68" s="27" t="str">
        <f t="shared" si="10"/>
        <v>Subway</v>
      </c>
      <c r="AI68" s="28" t="str">
        <f t="shared" si="11"/>
        <v>12.9118135</v>
      </c>
      <c r="AJ68" s="29" t="str">
        <f t="shared" si="12"/>
        <v>77.637958</v>
      </c>
      <c r="AK68"/>
    </row>
    <row r="69" spans="1:37">
      <c r="A69" s="22">
        <v>160474594456670</v>
      </c>
      <c r="B69" s="22" t="str">
        <f>_xlfn.XLOOKUP(Table2[[#This Row],[order_id]],swiggy_order_items!A69:A238,swiggy_order_items!B69:B238)</f>
        <v>Spicy Chick'n Cheese</v>
      </c>
      <c r="C69" s="22" t="str">
        <f>_xlfn.XLOOKUP(Table2[[#This Row],[name of the food]],swiggy_order_items!B69:B238,swiggy_order_items!E69:E238)</f>
        <v>Non_Veg</v>
      </c>
      <c r="D69" s="23" t="b">
        <v>1</v>
      </c>
      <c r="E69" s="23" t="s">
        <v>176</v>
      </c>
      <c r="F69" s="39">
        <f t="shared" si="8"/>
        <v>80</v>
      </c>
      <c r="G69" s="23" t="s">
        <v>568</v>
      </c>
      <c r="H69" s="23" t="s">
        <v>569</v>
      </c>
      <c r="I69" s="23" t="s">
        <v>570</v>
      </c>
      <c r="J69" s="23" t="s">
        <v>157</v>
      </c>
      <c r="K69" s="23" t="s">
        <v>158</v>
      </c>
      <c r="L69" s="23" t="s">
        <v>571</v>
      </c>
      <c r="M69" s="23" t="s">
        <v>382</v>
      </c>
      <c r="N69" s="23" t="s">
        <v>383</v>
      </c>
      <c r="O69" s="23" t="s">
        <v>384</v>
      </c>
      <c r="P69" s="23" t="s">
        <v>238</v>
      </c>
      <c r="Q69" s="23" t="s">
        <v>164</v>
      </c>
      <c r="R69" s="24">
        <v>2671</v>
      </c>
      <c r="S69" s="56">
        <f>Table2[[#This Row],[delivery_time_in_seconds]]/60</f>
        <v>44.516666666666666</v>
      </c>
      <c r="T69" s="23">
        <v>354</v>
      </c>
      <c r="U69" s="23">
        <v>354</v>
      </c>
      <c r="V69" s="23">
        <v>354</v>
      </c>
      <c r="W69" s="23">
        <v>398</v>
      </c>
      <c r="X69" s="23">
        <v>32</v>
      </c>
      <c r="Y69" s="23" t="s">
        <v>385</v>
      </c>
      <c r="Z69" s="23" t="str">
        <f>IF(Table2[[#This Row],[restaurant_customer_distance]]&lt;=2,"0-2 Km",IF(Table2[[#This Row],[restaurant_customer_distance]]&lt;=5,"2-5 Km",IF(Table2[[#This Row],[restaurant_customer_distance]]&lt;=8,"5-8 Km","8+Km")))</f>
        <v>0-2 Km</v>
      </c>
      <c r="AA69" s="23">
        <v>1.9</v>
      </c>
      <c r="AB69" s="23" t="s">
        <v>166</v>
      </c>
      <c r="AC69" s="23" t="s">
        <v>386</v>
      </c>
      <c r="AD69" s="23" t="b">
        <v>0</v>
      </c>
      <c r="AE69" s="23">
        <v>0</v>
      </c>
      <c r="AF69" s="25">
        <f t="shared" si="9"/>
        <v>45261</v>
      </c>
      <c r="AG69" s="26" t="str">
        <f>IFERROR(VLOOKUP(AC69,#REF!,2,0),AC69)</f>
        <v>Hsr Layout</v>
      </c>
      <c r="AH69" s="27" t="str">
        <f t="shared" si="10"/>
        <v>Subway</v>
      </c>
      <c r="AI69" s="28" t="str">
        <f t="shared" si="11"/>
        <v>12.9118135</v>
      </c>
      <c r="AJ69" s="29" t="str">
        <f t="shared" si="12"/>
        <v>77.637958</v>
      </c>
      <c r="AK69"/>
    </row>
    <row r="70" spans="1:37">
      <c r="A70" s="22">
        <v>159955886050893</v>
      </c>
      <c r="B70" s="22" t="str">
        <f>_xlfn.XLOOKUP(Table2[[#This Row],[order_id]],swiggy_order_items!A70:A239,swiggy_order_items!B70:B239)</f>
        <v>Chicken Varattiyathu</v>
      </c>
      <c r="C70" s="22" t="str">
        <f>_xlfn.XLOOKUP(Table2[[#This Row],[name of the food]],swiggy_order_items!B70:B239,swiggy_order_items!E70:E239)</f>
        <v>Non_Veg</v>
      </c>
      <c r="D70" s="23" t="b">
        <v>1</v>
      </c>
      <c r="E70" s="23" t="s">
        <v>153</v>
      </c>
      <c r="F70" s="39">
        <f t="shared" si="8"/>
        <v>120</v>
      </c>
      <c r="G70" s="23" t="s">
        <v>572</v>
      </c>
      <c r="H70" s="23" t="s">
        <v>573</v>
      </c>
      <c r="I70" s="23" t="s">
        <v>574</v>
      </c>
      <c r="J70" s="23" t="s">
        <v>157</v>
      </c>
      <c r="K70" s="23" t="s">
        <v>158</v>
      </c>
      <c r="L70" s="23" t="s">
        <v>575</v>
      </c>
      <c r="M70" s="23" t="s">
        <v>576</v>
      </c>
      <c r="N70" s="23" t="s">
        <v>577</v>
      </c>
      <c r="O70" s="23" t="s">
        <v>578</v>
      </c>
      <c r="P70" s="23" t="s">
        <v>579</v>
      </c>
      <c r="Q70" s="23" t="s">
        <v>164</v>
      </c>
      <c r="R70" s="24">
        <v>1550</v>
      </c>
      <c r="S70" s="56">
        <f>Table2[[#This Row],[delivery_time_in_seconds]]/60</f>
        <v>25.833333333333332</v>
      </c>
      <c r="T70" s="23">
        <v>284</v>
      </c>
      <c r="U70" s="23">
        <v>284</v>
      </c>
      <c r="V70" s="23">
        <v>284</v>
      </c>
      <c r="W70" s="23">
        <v>375</v>
      </c>
      <c r="X70" s="23">
        <v>41</v>
      </c>
      <c r="Y70" s="23" t="s">
        <v>580</v>
      </c>
      <c r="Z70" s="23" t="str">
        <f>IF(Table2[[#This Row],[restaurant_customer_distance]]&lt;=2,"0-2 Km",IF(Table2[[#This Row],[restaurant_customer_distance]]&lt;=5,"2-5 Km",IF(Table2[[#This Row],[restaurant_customer_distance]]&lt;=8,"5-8 Km","8+Km")))</f>
        <v>2-5 Km</v>
      </c>
      <c r="AA70" s="23">
        <v>3.3</v>
      </c>
      <c r="AB70" s="23" t="s">
        <v>166</v>
      </c>
      <c r="AC70" s="23" t="s">
        <v>581</v>
      </c>
      <c r="AD70" s="23" t="b">
        <v>0</v>
      </c>
      <c r="AE70" s="23">
        <v>0</v>
      </c>
      <c r="AF70" s="25">
        <f t="shared" si="9"/>
        <v>45231</v>
      </c>
      <c r="AG70" s="26" t="str">
        <f>IFERROR(VLOOKUP(AC70,#REF!,2,0),AC70)</f>
        <v>Bommanahalli</v>
      </c>
      <c r="AH70" s="27" t="str">
        <f t="shared" si="10"/>
        <v>Tharavadu family restaurant</v>
      </c>
      <c r="AI70" s="28" t="str">
        <f t="shared" si="11"/>
        <v>12.906146</v>
      </c>
      <c r="AJ70" s="29" t="str">
        <f t="shared" si="12"/>
        <v>77.629745</v>
      </c>
      <c r="AK70"/>
    </row>
    <row r="71" spans="1:37">
      <c r="A71" s="22">
        <v>159700431113615</v>
      </c>
      <c r="B71" s="22" t="str">
        <f>_xlfn.XLOOKUP(Table2[[#This Row],[order_id]],swiggy_order_items!A71:A240,swiggy_order_items!B71:B240)</f>
        <v>Peanut Butter &amp; Snicker Thickshake</v>
      </c>
      <c r="C71" s="22" t="str">
        <f>_xlfn.XLOOKUP(Table2[[#This Row],[name of the food]],swiggy_order_items!B71:B240,swiggy_order_items!E71:E240)</f>
        <v>Veg</v>
      </c>
      <c r="D71" s="23" t="b">
        <v>1</v>
      </c>
      <c r="E71" s="23" t="s">
        <v>387</v>
      </c>
      <c r="F71" s="39">
        <f t="shared" si="8"/>
        <v>100</v>
      </c>
      <c r="G71" s="23" t="s">
        <v>582</v>
      </c>
      <c r="H71" s="23" t="s">
        <v>583</v>
      </c>
      <c r="I71" s="23" t="s">
        <v>584</v>
      </c>
      <c r="J71" s="23" t="s">
        <v>157</v>
      </c>
      <c r="K71" s="23" t="s">
        <v>158</v>
      </c>
      <c r="L71" s="23" t="s">
        <v>585</v>
      </c>
      <c r="M71" s="23" t="s">
        <v>586</v>
      </c>
      <c r="N71" s="23" t="s">
        <v>587</v>
      </c>
      <c r="O71" s="23" t="s">
        <v>588</v>
      </c>
      <c r="P71" s="23" t="s">
        <v>589</v>
      </c>
      <c r="Q71" s="23" t="s">
        <v>164</v>
      </c>
      <c r="R71" s="24">
        <v>1673</v>
      </c>
      <c r="S71" s="56">
        <f>Table2[[#This Row],[delivery_time_in_seconds]]/60</f>
        <v>27.883333333333333</v>
      </c>
      <c r="T71" s="23">
        <v>455</v>
      </c>
      <c r="U71" s="23">
        <v>455</v>
      </c>
      <c r="V71" s="23">
        <v>455</v>
      </c>
      <c r="W71" s="23">
        <v>530</v>
      </c>
      <c r="X71" s="23">
        <v>29</v>
      </c>
      <c r="Y71" s="23" t="s">
        <v>590</v>
      </c>
      <c r="Z71" s="23" t="str">
        <f>IF(Table2[[#This Row],[restaurant_customer_distance]]&lt;=2,"0-2 Km",IF(Table2[[#This Row],[restaurant_customer_distance]]&lt;=5,"2-5 Km",IF(Table2[[#This Row],[restaurant_customer_distance]]&lt;=8,"5-8 Km","8+Km")))</f>
        <v>2-5 Km</v>
      </c>
      <c r="AA71" s="23">
        <v>2.2999999999999998</v>
      </c>
      <c r="AB71" s="23" t="s">
        <v>166</v>
      </c>
      <c r="AC71" s="23" t="s">
        <v>591</v>
      </c>
      <c r="AD71" s="23" t="b">
        <v>0</v>
      </c>
      <c r="AE71" s="23">
        <v>0</v>
      </c>
      <c r="AF71" s="25">
        <f t="shared" si="9"/>
        <v>45231</v>
      </c>
      <c r="AG71" s="26" t="str">
        <f>IFERROR(VLOOKUP(AC71,#REF!,2,0),AC71)</f>
        <v>HSR</v>
      </c>
      <c r="AH71" s="27" t="str">
        <f t="shared" si="10"/>
        <v>The Best Thickshakes Co</v>
      </c>
      <c r="AI71" s="28" t="str">
        <f t="shared" si="11"/>
        <v>12.912028</v>
      </c>
      <c r="AJ71" s="29" t="str">
        <f t="shared" si="12"/>
        <v>77.632327</v>
      </c>
      <c r="AK71"/>
    </row>
    <row r="72" spans="1:37">
      <c r="A72" s="22">
        <v>159024606634682</v>
      </c>
      <c r="B72" s="22" t="str">
        <f>_xlfn.XLOOKUP(Table2[[#This Row],[order_id]],swiggy_order_items!A72:A241,swiggy_order_items!B72:B241)</f>
        <v>Idiyappam</v>
      </c>
      <c r="C72" s="22" t="str">
        <f>_xlfn.XLOOKUP(Table2[[#This Row],[name of the food]],swiggy_order_items!B72:B241,swiggy_order_items!E72:E241)</f>
        <v>Veg</v>
      </c>
      <c r="D72" s="23" t="b">
        <v>1</v>
      </c>
      <c r="E72" s="23" t="s">
        <v>592</v>
      </c>
      <c r="F72" s="39">
        <f t="shared" si="8"/>
        <v>50.01</v>
      </c>
      <c r="G72" s="23" t="s">
        <v>593</v>
      </c>
      <c r="H72" s="23" t="s">
        <v>594</v>
      </c>
      <c r="I72" s="23" t="s">
        <v>595</v>
      </c>
      <c r="J72" s="23" t="s">
        <v>157</v>
      </c>
      <c r="K72" s="23" t="s">
        <v>158</v>
      </c>
      <c r="L72" s="23" t="s">
        <v>596</v>
      </c>
      <c r="M72" s="23" t="s">
        <v>576</v>
      </c>
      <c r="N72" s="23" t="s">
        <v>577</v>
      </c>
      <c r="O72" s="23" t="s">
        <v>578</v>
      </c>
      <c r="P72" s="23" t="s">
        <v>579</v>
      </c>
      <c r="Q72" s="23" t="s">
        <v>164</v>
      </c>
      <c r="R72" s="24">
        <v>2047</v>
      </c>
      <c r="S72" s="56">
        <f>Table2[[#This Row],[delivery_time_in_seconds]]/60</f>
        <v>34.116666666666667</v>
      </c>
      <c r="T72" s="23">
        <v>380</v>
      </c>
      <c r="U72" s="23">
        <v>380</v>
      </c>
      <c r="V72" s="23">
        <v>380</v>
      </c>
      <c r="W72" s="23">
        <v>540</v>
      </c>
      <c r="X72" s="23">
        <v>44</v>
      </c>
      <c r="Y72" s="23" t="s">
        <v>580</v>
      </c>
      <c r="Z72" s="23" t="str">
        <f>IF(Table2[[#This Row],[restaurant_customer_distance]]&lt;=2,"0-2 Km",IF(Table2[[#This Row],[restaurant_customer_distance]]&lt;=5,"2-5 Km",IF(Table2[[#This Row],[restaurant_customer_distance]]&lt;=8,"5-8 Km","8+Km")))</f>
        <v>2-5 Km</v>
      </c>
      <c r="AA72" s="23">
        <v>3.3</v>
      </c>
      <c r="AB72" s="23" t="s">
        <v>166</v>
      </c>
      <c r="AC72" s="23" t="s">
        <v>581</v>
      </c>
      <c r="AD72" s="23" t="b">
        <v>0</v>
      </c>
      <c r="AE72" s="23">
        <v>0</v>
      </c>
      <c r="AF72" s="25">
        <f t="shared" si="9"/>
        <v>45231</v>
      </c>
      <c r="AG72" s="26" t="str">
        <f>IFERROR(VLOOKUP(AC72,#REF!,2,0),AC72)</f>
        <v>Bommanahalli</v>
      </c>
      <c r="AH72" s="27" t="str">
        <f t="shared" si="10"/>
        <v>Tharavadu family restaurant</v>
      </c>
      <c r="AI72" s="28" t="str">
        <f t="shared" si="11"/>
        <v>12.906146</v>
      </c>
      <c r="AJ72" s="29" t="str">
        <f t="shared" si="12"/>
        <v>77.629745</v>
      </c>
      <c r="AK72"/>
    </row>
    <row r="73" spans="1:37">
      <c r="A73" s="22">
        <v>158421216354293</v>
      </c>
      <c r="B73" s="22" t="str">
        <f>_xlfn.XLOOKUP(Table2[[#This Row],[order_id]],swiggy_order_items!A73:A242,swiggy_order_items!B73:B242)</f>
        <v>Chicken Darjeeling Steam Momo</v>
      </c>
      <c r="C73" s="22" t="str">
        <f>_xlfn.XLOOKUP(Table2[[#This Row],[name of the food]],swiggy_order_items!B73:B242,swiggy_order_items!E73:E242)</f>
        <v>Non_Veg</v>
      </c>
      <c r="D73" s="23" t="b">
        <v>0</v>
      </c>
      <c r="E73" s="23" t="s">
        <v>167</v>
      </c>
      <c r="F73" s="39" t="str">
        <f t="shared" si="8"/>
        <v>NO OFFER</v>
      </c>
      <c r="G73" s="23" t="s">
        <v>168</v>
      </c>
      <c r="H73" s="23" t="s">
        <v>597</v>
      </c>
      <c r="I73" s="23" t="s">
        <v>598</v>
      </c>
      <c r="J73" s="23" t="s">
        <v>157</v>
      </c>
      <c r="K73" s="23" t="s">
        <v>158</v>
      </c>
      <c r="L73" s="23" t="s">
        <v>599</v>
      </c>
      <c r="M73" s="23" t="s">
        <v>600</v>
      </c>
      <c r="N73" s="23" t="s">
        <v>601</v>
      </c>
      <c r="O73" s="23" t="s">
        <v>602</v>
      </c>
      <c r="P73" s="23" t="s">
        <v>603</v>
      </c>
      <c r="Q73" s="23" t="s">
        <v>164</v>
      </c>
      <c r="R73" s="24">
        <v>2006</v>
      </c>
      <c r="S73" s="56">
        <f>Table2[[#This Row],[delivery_time_in_seconds]]/60</f>
        <v>33.43333333333333</v>
      </c>
      <c r="T73" s="23">
        <v>221</v>
      </c>
      <c r="U73" s="23">
        <v>221</v>
      </c>
      <c r="V73" s="23">
        <v>221</v>
      </c>
      <c r="W73" s="23">
        <v>268</v>
      </c>
      <c r="X73" s="23">
        <v>32</v>
      </c>
      <c r="Y73" s="23" t="s">
        <v>604</v>
      </c>
      <c r="Z73" s="23" t="str">
        <f>IF(Table2[[#This Row],[restaurant_customer_distance]]&lt;=2,"0-2 Km",IF(Table2[[#This Row],[restaurant_customer_distance]]&lt;=5,"2-5 Km",IF(Table2[[#This Row],[restaurant_customer_distance]]&lt;=8,"5-8 Km","8+Km")))</f>
        <v>2-5 Km</v>
      </c>
      <c r="AA73" s="23">
        <v>2.1</v>
      </c>
      <c r="AB73" s="23" t="s">
        <v>166</v>
      </c>
      <c r="AC73" s="23" t="s">
        <v>240</v>
      </c>
      <c r="AD73" s="23" t="b">
        <v>0</v>
      </c>
      <c r="AE73" s="23">
        <v>0</v>
      </c>
      <c r="AF73" s="25">
        <f t="shared" si="9"/>
        <v>45231</v>
      </c>
      <c r="AG73" s="26" t="str">
        <f>IFERROR(VLOOKUP(AC73,#REF!,2,0),AC73)</f>
        <v>HSR Layout</v>
      </c>
      <c r="AH73" s="27" t="str">
        <f t="shared" si="10"/>
        <v>Wow! Momo</v>
      </c>
      <c r="AI73" s="28" t="str">
        <f t="shared" si="11"/>
        <v>12.9161961</v>
      </c>
      <c r="AJ73" s="29" t="str">
        <f t="shared" si="12"/>
        <v>77.6377847</v>
      </c>
      <c r="AK73"/>
    </row>
    <row r="74" spans="1:37">
      <c r="A74" s="22">
        <v>158334414702466</v>
      </c>
      <c r="B74" s="22" t="str">
        <f>_xlfn.XLOOKUP(Table2[[#This Row],[order_id]],swiggy_order_items!A74:A243,swiggy_order_items!B74:B243)</f>
        <v>Hugo (Fried Chicken &amp; Mozza Sandwich)</v>
      </c>
      <c r="C74" s="22" t="str">
        <f>_xlfn.XLOOKUP(Table2[[#This Row],[name of the food]],swiggy_order_items!B74:B243,swiggy_order_items!E74:E243)</f>
        <v>Non_Veg</v>
      </c>
      <c r="D74" s="23" t="b">
        <v>0</v>
      </c>
      <c r="E74" s="23" t="s">
        <v>167</v>
      </c>
      <c r="F74" s="39" t="str">
        <f t="shared" si="8"/>
        <v>NO OFFER</v>
      </c>
      <c r="G74" s="23" t="s">
        <v>168</v>
      </c>
      <c r="H74" s="23" t="s">
        <v>605</v>
      </c>
      <c r="I74" s="23" t="s">
        <v>606</v>
      </c>
      <c r="J74" s="23" t="s">
        <v>157</v>
      </c>
      <c r="K74" s="23" t="s">
        <v>158</v>
      </c>
      <c r="L74" s="23" t="s">
        <v>607</v>
      </c>
      <c r="M74" s="23" t="s">
        <v>336</v>
      </c>
      <c r="N74" s="23" t="s">
        <v>161</v>
      </c>
      <c r="O74" s="23" t="s">
        <v>337</v>
      </c>
      <c r="P74" s="23" t="s">
        <v>608</v>
      </c>
      <c r="Q74" s="23" t="s">
        <v>164</v>
      </c>
      <c r="R74" s="24">
        <v>3013</v>
      </c>
      <c r="S74" s="56">
        <f>Table2[[#This Row],[delivery_time_in_seconds]]/60</f>
        <v>50.216666666666669</v>
      </c>
      <c r="T74" s="23">
        <v>287</v>
      </c>
      <c r="U74" s="23">
        <v>287</v>
      </c>
      <c r="V74" s="23">
        <v>287</v>
      </c>
      <c r="W74" s="23">
        <v>245</v>
      </c>
      <c r="X74" s="23">
        <v>72</v>
      </c>
      <c r="Y74" s="23" t="s">
        <v>609</v>
      </c>
      <c r="Z74" s="23" t="str">
        <f>IF(Table2[[#This Row],[restaurant_customer_distance]]&lt;=2,"0-2 Km",IF(Table2[[#This Row],[restaurant_customer_distance]]&lt;=5,"2-5 Km",IF(Table2[[#This Row],[restaurant_customer_distance]]&lt;=8,"5-8 Km","8+Km")))</f>
        <v>5-8 Km</v>
      </c>
      <c r="AA74" s="23">
        <v>5.4</v>
      </c>
      <c r="AB74" s="23" t="s">
        <v>166</v>
      </c>
      <c r="AC74" s="23" t="s">
        <v>340</v>
      </c>
      <c r="AD74" s="23" t="b">
        <v>0</v>
      </c>
      <c r="AE74" s="23">
        <v>2</v>
      </c>
      <c r="AF74" s="25">
        <f t="shared" si="9"/>
        <v>45231</v>
      </c>
      <c r="AG74" s="26" t="str">
        <f>IFERROR(VLOOKUP(AC74,#REF!,2,0),AC74)</f>
        <v>Bellandur Sarjapur</v>
      </c>
      <c r="AH74" s="27" t="str">
        <f t="shared" si="10"/>
        <v>Paris Panini</v>
      </c>
      <c r="AI74" s="28" t="str">
        <f t="shared" si="11"/>
        <v>12.9092988</v>
      </c>
      <c r="AJ74" s="29" t="str">
        <f t="shared" si="12"/>
        <v>77.6877346</v>
      </c>
      <c r="AK74"/>
    </row>
    <row r="75" spans="1:37">
      <c r="A75" s="22">
        <v>158133339719955</v>
      </c>
      <c r="B75" s="22" t="str">
        <f>_xlfn.XLOOKUP(Table2[[#This Row],[order_id]],swiggy_order_items!A75:A244,swiggy_order_items!B75:B244)</f>
        <v>Single Lamb Cheese Burger</v>
      </c>
      <c r="C75" s="22" t="str">
        <f>_xlfn.XLOOKUP(Table2[[#This Row],[name of the food]],swiggy_order_items!B75:B244,swiggy_order_items!E75:E244)</f>
        <v>Non_Veg</v>
      </c>
      <c r="D75" s="23" t="b">
        <v>1</v>
      </c>
      <c r="E75" s="23" t="s">
        <v>610</v>
      </c>
      <c r="F75" s="39">
        <f t="shared" si="8"/>
        <v>150</v>
      </c>
      <c r="G75" s="23" t="s">
        <v>611</v>
      </c>
      <c r="H75" s="23" t="s">
        <v>612</v>
      </c>
      <c r="I75" s="23" t="s">
        <v>613</v>
      </c>
      <c r="J75" s="23" t="s">
        <v>157</v>
      </c>
      <c r="K75" s="23" t="s">
        <v>158</v>
      </c>
      <c r="L75" s="23" t="s">
        <v>614</v>
      </c>
      <c r="M75" s="23" t="s">
        <v>361</v>
      </c>
      <c r="N75" s="23" t="s">
        <v>362</v>
      </c>
      <c r="O75" s="23" t="s">
        <v>363</v>
      </c>
      <c r="P75" s="23" t="s">
        <v>240</v>
      </c>
      <c r="Q75" s="23" t="s">
        <v>164</v>
      </c>
      <c r="R75" s="24">
        <v>1495</v>
      </c>
      <c r="S75" s="56">
        <f>Table2[[#This Row],[delivery_time_in_seconds]]/60</f>
        <v>24.916666666666668</v>
      </c>
      <c r="T75" s="23">
        <v>251</v>
      </c>
      <c r="U75" s="23">
        <v>251</v>
      </c>
      <c r="V75" s="23">
        <v>251</v>
      </c>
      <c r="W75" s="23">
        <v>349</v>
      </c>
      <c r="X75" s="23">
        <v>31</v>
      </c>
      <c r="Y75" s="23" t="s">
        <v>615</v>
      </c>
      <c r="Z75" s="23" t="str">
        <f>IF(Table2[[#This Row],[restaurant_customer_distance]]&lt;=2,"0-2 Km",IF(Table2[[#This Row],[restaurant_customer_distance]]&lt;=5,"2-5 Km",IF(Table2[[#This Row],[restaurant_customer_distance]]&lt;=8,"5-8 Km","8+Km")))</f>
        <v>0-2 Km</v>
      </c>
      <c r="AA75" s="23">
        <v>1.6</v>
      </c>
      <c r="AB75" s="23" t="s">
        <v>166</v>
      </c>
      <c r="AC75" s="23" t="s">
        <v>240</v>
      </c>
      <c r="AD75" s="23" t="b">
        <v>0</v>
      </c>
      <c r="AE75" s="23">
        <v>0</v>
      </c>
      <c r="AF75" s="25">
        <f t="shared" si="9"/>
        <v>45231</v>
      </c>
      <c r="AG75" s="26" t="str">
        <f>IFERROR(VLOOKUP(AC75,#REF!,2,0),AC75)</f>
        <v>HSR Layout</v>
      </c>
      <c r="AH75" s="27" t="str">
        <f t="shared" si="10"/>
        <v>Leon's</v>
      </c>
      <c r="AI75" s="28" t="str">
        <f t="shared" si="11"/>
        <v>12.91183127</v>
      </c>
      <c r="AJ75" s="29" t="str">
        <f t="shared" si="12"/>
        <v>77.64382903</v>
      </c>
      <c r="AK75"/>
    </row>
    <row r="76" spans="1:37">
      <c r="A76" s="22">
        <v>158078123542130</v>
      </c>
      <c r="B76" s="22" t="str">
        <f>_xlfn.XLOOKUP(Table2[[#This Row],[order_id]],swiggy_order_items!A76:A245,swiggy_order_items!B76:B245)</f>
        <v>Cheese Ramyun</v>
      </c>
      <c r="C76" s="22" t="str">
        <f>_xlfn.XLOOKUP(Table2[[#This Row],[name of the food]],swiggy_order_items!B76:B245,swiggy_order_items!E76:E245)</f>
        <v>Non_Veg</v>
      </c>
      <c r="D76" s="23" t="b">
        <v>1</v>
      </c>
      <c r="E76" s="23" t="s">
        <v>610</v>
      </c>
      <c r="F76" s="39">
        <f t="shared" si="8"/>
        <v>150</v>
      </c>
      <c r="G76" s="23" t="s">
        <v>616</v>
      </c>
      <c r="H76" s="23" t="s">
        <v>617</v>
      </c>
      <c r="I76" s="23" t="s">
        <v>618</v>
      </c>
      <c r="J76" s="23" t="s">
        <v>157</v>
      </c>
      <c r="K76" s="23" t="s">
        <v>158</v>
      </c>
      <c r="L76" s="23" t="s">
        <v>619</v>
      </c>
      <c r="M76" s="23" t="s">
        <v>421</v>
      </c>
      <c r="N76" s="23" t="s">
        <v>214</v>
      </c>
      <c r="O76" s="23" t="s">
        <v>422</v>
      </c>
      <c r="P76" s="23" t="s">
        <v>405</v>
      </c>
      <c r="Q76" s="23" t="s">
        <v>164</v>
      </c>
      <c r="R76" s="24">
        <v>2736</v>
      </c>
      <c r="S76" s="56">
        <f>Table2[[#This Row],[delivery_time_in_seconds]]/60</f>
        <v>45.6</v>
      </c>
      <c r="T76" s="23">
        <v>333</v>
      </c>
      <c r="U76" s="23">
        <v>333</v>
      </c>
      <c r="V76" s="23">
        <v>333</v>
      </c>
      <c r="W76" s="23">
        <v>420</v>
      </c>
      <c r="X76" s="23">
        <v>40</v>
      </c>
      <c r="Y76" s="23" t="s">
        <v>548</v>
      </c>
      <c r="Z76" s="23" t="str">
        <f>IF(Table2[[#This Row],[restaurant_customer_distance]]&lt;=2,"0-2 Km",IF(Table2[[#This Row],[restaurant_customer_distance]]&lt;=5,"2-5 Km",IF(Table2[[#This Row],[restaurant_customer_distance]]&lt;=8,"5-8 Km","8+Km")))</f>
        <v>2-5 Km</v>
      </c>
      <c r="AA76" s="23">
        <v>2.1</v>
      </c>
      <c r="AB76" s="23" t="s">
        <v>166</v>
      </c>
      <c r="AC76" s="23" t="s">
        <v>240</v>
      </c>
      <c r="AD76" s="23" t="b">
        <v>1</v>
      </c>
      <c r="AE76" s="23">
        <v>0</v>
      </c>
      <c r="AF76" s="25">
        <f t="shared" si="9"/>
        <v>45231</v>
      </c>
      <c r="AG76" s="26" t="str">
        <f>IFERROR(VLOOKUP(AC76,#REF!,2,0),AC76)</f>
        <v>HSR Layout</v>
      </c>
      <c r="AH76" s="27" t="str">
        <f t="shared" si="10"/>
        <v>Daily Sushi</v>
      </c>
      <c r="AI76" s="28" t="str">
        <f t="shared" si="11"/>
        <v>12.909368</v>
      </c>
      <c r="AJ76" s="29" t="str">
        <f t="shared" si="12"/>
        <v>77.638656</v>
      </c>
      <c r="AK76"/>
    </row>
    <row r="77" spans="1:37">
      <c r="A77" s="22">
        <v>158041541026826</v>
      </c>
      <c r="B77" s="22" t="str">
        <f>_xlfn.XLOOKUP(Table2[[#This Row],[order_id]],swiggy_order_items!A77:A246,swiggy_order_items!B77:B246)</f>
        <v>Dosa (2 Pcs) Chicken Curry</v>
      </c>
      <c r="C77" s="22" t="str">
        <f>_xlfn.XLOOKUP(Table2[[#This Row],[name of the food]],swiggy_order_items!B77:B246,swiggy_order_items!E77:E246)</f>
        <v>Non_Veg</v>
      </c>
      <c r="D77" s="23" t="b">
        <v>0</v>
      </c>
      <c r="E77" s="23" t="s">
        <v>167</v>
      </c>
      <c r="F77" s="39" t="str">
        <f t="shared" si="8"/>
        <v>NO OFFER</v>
      </c>
      <c r="G77" s="23" t="s">
        <v>168</v>
      </c>
      <c r="H77" s="23" t="s">
        <v>620</v>
      </c>
      <c r="I77" s="23" t="s">
        <v>621</v>
      </c>
      <c r="J77" s="23" t="s">
        <v>157</v>
      </c>
      <c r="K77" s="23" t="s">
        <v>158</v>
      </c>
      <c r="L77" s="23" t="s">
        <v>622</v>
      </c>
      <c r="M77" s="23" t="s">
        <v>623</v>
      </c>
      <c r="N77" s="23" t="s">
        <v>624</v>
      </c>
      <c r="O77" s="23" t="s">
        <v>625</v>
      </c>
      <c r="P77" s="23" t="s">
        <v>238</v>
      </c>
      <c r="Q77" s="23" t="s">
        <v>164</v>
      </c>
      <c r="R77" s="24">
        <v>2540</v>
      </c>
      <c r="S77" s="56">
        <f>Table2[[#This Row],[delivery_time_in_seconds]]/60</f>
        <v>42.333333333333336</v>
      </c>
      <c r="T77" s="23">
        <v>191</v>
      </c>
      <c r="U77" s="23">
        <v>191</v>
      </c>
      <c r="V77" s="23">
        <v>191</v>
      </c>
      <c r="W77" s="23">
        <v>169</v>
      </c>
      <c r="X77" s="23">
        <v>33</v>
      </c>
      <c r="Y77" s="23" t="s">
        <v>626</v>
      </c>
      <c r="Z77" s="23" t="str">
        <f>IF(Table2[[#This Row],[restaurant_customer_distance]]&lt;=2,"0-2 Km",IF(Table2[[#This Row],[restaurant_customer_distance]]&lt;=5,"2-5 Km",IF(Table2[[#This Row],[restaurant_customer_distance]]&lt;=8,"5-8 Km","8+Km")))</f>
        <v>2-5 Km</v>
      </c>
      <c r="AA77" s="23">
        <v>2.1</v>
      </c>
      <c r="AB77" s="23" t="s">
        <v>166</v>
      </c>
      <c r="AC77" s="23" t="s">
        <v>240</v>
      </c>
      <c r="AD77" s="23" t="b">
        <v>0</v>
      </c>
      <c r="AE77" s="23">
        <v>0</v>
      </c>
      <c r="AF77" s="25">
        <f t="shared" si="9"/>
        <v>45231</v>
      </c>
      <c r="AG77" s="26" t="str">
        <f>IFERROR(VLOOKUP(AC77,#REF!,2,0),AC77)</f>
        <v>HSR Layout</v>
      </c>
      <c r="AH77" s="27" t="str">
        <f t="shared" si="10"/>
        <v>Dosa Chicken &amp; Tiffins</v>
      </c>
      <c r="AI77" s="28" t="str">
        <f t="shared" si="11"/>
        <v>12.912837</v>
      </c>
      <c r="AJ77" s="29" t="str">
        <f t="shared" si="12"/>
        <v>77.63510900000006</v>
      </c>
      <c r="AK77"/>
    </row>
    <row r="78" spans="1:37">
      <c r="A78" s="22">
        <v>157279336071863</v>
      </c>
      <c r="B78" s="22" t="str">
        <f>_xlfn.XLOOKUP(Table2[[#This Row],[order_id]],swiggy_order_items!A78:A247,swiggy_order_items!B78:B247)</f>
        <v>Grilled Spicy Lamb Burger</v>
      </c>
      <c r="C78" s="22" t="str">
        <f>_xlfn.XLOOKUP(Table2[[#This Row],[name of the food]],swiggy_order_items!B78:B247,swiggy_order_items!E78:E247)</f>
        <v>Non_Veg</v>
      </c>
      <c r="D78" s="23" t="b">
        <v>1</v>
      </c>
      <c r="E78" s="23" t="s">
        <v>153</v>
      </c>
      <c r="F78" s="39">
        <f t="shared" si="8"/>
        <v>50</v>
      </c>
      <c r="G78" s="23" t="s">
        <v>627</v>
      </c>
      <c r="H78" s="23" t="s">
        <v>628</v>
      </c>
      <c r="I78" s="23" t="s">
        <v>629</v>
      </c>
      <c r="J78" s="23" t="s">
        <v>157</v>
      </c>
      <c r="K78" s="23" t="s">
        <v>158</v>
      </c>
      <c r="L78" s="23" t="s">
        <v>630</v>
      </c>
      <c r="M78" s="23" t="s">
        <v>361</v>
      </c>
      <c r="N78" s="23" t="s">
        <v>362</v>
      </c>
      <c r="O78" s="23" t="s">
        <v>363</v>
      </c>
      <c r="P78" s="23" t="s">
        <v>240</v>
      </c>
      <c r="Q78" s="23" t="s">
        <v>164</v>
      </c>
      <c r="R78" s="24">
        <v>782</v>
      </c>
      <c r="S78" s="56">
        <f>Table2[[#This Row],[delivery_time_in_seconds]]/60</f>
        <v>13.033333333333333</v>
      </c>
      <c r="T78" s="23">
        <v>298</v>
      </c>
      <c r="U78" s="23">
        <v>298</v>
      </c>
      <c r="V78" s="23">
        <v>298</v>
      </c>
      <c r="W78" s="23">
        <v>295.86</v>
      </c>
      <c r="X78" s="23">
        <v>30</v>
      </c>
      <c r="Y78" s="23" t="s">
        <v>615</v>
      </c>
      <c r="Z78" s="23" t="str">
        <f>IF(Table2[[#This Row],[restaurant_customer_distance]]&lt;=2,"0-2 Km",IF(Table2[[#This Row],[restaurant_customer_distance]]&lt;=5,"2-5 Km",IF(Table2[[#This Row],[restaurant_customer_distance]]&lt;=8,"5-8 Km","8+Km")))</f>
        <v>0-2 Km</v>
      </c>
      <c r="AA78" s="23">
        <v>0.2</v>
      </c>
      <c r="AB78" s="23" t="s">
        <v>166</v>
      </c>
      <c r="AC78" s="23" t="s">
        <v>240</v>
      </c>
      <c r="AD78" s="23" t="b">
        <v>1</v>
      </c>
      <c r="AE78" s="23">
        <v>0</v>
      </c>
      <c r="AF78" s="25">
        <f t="shared" si="9"/>
        <v>45200</v>
      </c>
      <c r="AG78" s="26" t="str">
        <f>IFERROR(VLOOKUP(AC78,#REF!,2,0),AC78)</f>
        <v>HSR Layout</v>
      </c>
      <c r="AH78" s="27" t="str">
        <f t="shared" si="10"/>
        <v>Leon's</v>
      </c>
      <c r="AI78" s="28" t="str">
        <f t="shared" si="11"/>
        <v>12.91183127</v>
      </c>
      <c r="AJ78" s="29" t="str">
        <f t="shared" si="12"/>
        <v>77.64382903</v>
      </c>
      <c r="AK78"/>
    </row>
    <row r="79" spans="1:37">
      <c r="A79" s="22">
        <v>157212479386394</v>
      </c>
      <c r="B79" s="22" t="str">
        <f>_xlfn.XLOOKUP(Table2[[#This Row],[order_id]],swiggy_order_items!A79:A248,swiggy_order_items!B79:B248)</f>
        <v>Himalayan Steamed Chicken Momos</v>
      </c>
      <c r="C79" s="22" t="str">
        <f>_xlfn.XLOOKUP(Table2[[#This Row],[name of the food]],swiggy_order_items!B79:B248,swiggy_order_items!E79:E248)</f>
        <v>Non_Veg</v>
      </c>
      <c r="D79" s="23" t="b">
        <v>0</v>
      </c>
      <c r="E79" s="23" t="s">
        <v>167</v>
      </c>
      <c r="F79" s="39" t="str">
        <f t="shared" si="8"/>
        <v>NO OFFER</v>
      </c>
      <c r="G79" s="23" t="s">
        <v>168</v>
      </c>
      <c r="H79" s="23" t="s">
        <v>631</v>
      </c>
      <c r="I79" s="23" t="s">
        <v>632</v>
      </c>
      <c r="J79" s="23" t="s">
        <v>157</v>
      </c>
      <c r="K79" s="23" t="s">
        <v>158</v>
      </c>
      <c r="L79" s="23" t="s">
        <v>633</v>
      </c>
      <c r="M79" s="23" t="s">
        <v>634</v>
      </c>
      <c r="N79" s="23" t="s">
        <v>635</v>
      </c>
      <c r="O79" s="23" t="s">
        <v>636</v>
      </c>
      <c r="P79" s="23" t="s">
        <v>504</v>
      </c>
      <c r="Q79" s="23" t="s">
        <v>164</v>
      </c>
      <c r="R79" s="24">
        <v>661</v>
      </c>
      <c r="S79" s="56">
        <f>Table2[[#This Row],[delivery_time_in_seconds]]/60</f>
        <v>11.016666666666667</v>
      </c>
      <c r="T79" s="23">
        <v>167</v>
      </c>
      <c r="U79" s="23">
        <v>167</v>
      </c>
      <c r="V79" s="23">
        <v>167</v>
      </c>
      <c r="W79" s="23">
        <v>149</v>
      </c>
      <c r="X79" s="23">
        <v>42</v>
      </c>
      <c r="Y79" s="23" t="s">
        <v>637</v>
      </c>
      <c r="Z79" s="23" t="str">
        <f>IF(Table2[[#This Row],[restaurant_customer_distance]]&lt;=2,"0-2 Km",IF(Table2[[#This Row],[restaurant_customer_distance]]&lt;=5,"2-5 Km",IF(Table2[[#This Row],[restaurant_customer_distance]]&lt;=8,"5-8 Km","8+Km")))</f>
        <v>0-2 Km</v>
      </c>
      <c r="AA79" s="23">
        <v>0.6</v>
      </c>
      <c r="AB79" s="23" t="s">
        <v>166</v>
      </c>
      <c r="AC79" s="23" t="s">
        <v>240</v>
      </c>
      <c r="AD79" s="23" t="b">
        <v>1</v>
      </c>
      <c r="AE79" s="23">
        <v>0</v>
      </c>
      <c r="AF79" s="25">
        <f t="shared" si="9"/>
        <v>45200</v>
      </c>
      <c r="AG79" s="26" t="str">
        <f>IFERROR(VLOOKUP(AC79,#REF!,2,0),AC79)</f>
        <v>HSR Layout</v>
      </c>
      <c r="AH79" s="27" t="str">
        <f t="shared" si="10"/>
        <v>The Himalayan Momo Company</v>
      </c>
      <c r="AI79" s="28" t="str">
        <f t="shared" si="11"/>
        <v>12.920751</v>
      </c>
      <c r="AJ79" s="29" t="str">
        <f t="shared" si="12"/>
        <v>77.650396</v>
      </c>
      <c r="AK79"/>
    </row>
    <row r="80" spans="1:37">
      <c r="A80" s="22">
        <v>157095860714592</v>
      </c>
      <c r="B80" s="22" t="str">
        <f>_xlfn.XLOOKUP(Table2[[#This Row],[order_id]],swiggy_order_items!A80:A249,swiggy_order_items!B80:B249)</f>
        <v>Ghee Gulab Jamun (2 Pcs)</v>
      </c>
      <c r="C80" s="22" t="str">
        <f>_xlfn.XLOOKUP(Table2[[#This Row],[name of the food]],swiggy_order_items!B80:B249,swiggy_order_items!E80:E249)</f>
        <v>Veg</v>
      </c>
      <c r="D80" s="23" t="b">
        <v>1</v>
      </c>
      <c r="E80" s="23" t="s">
        <v>638</v>
      </c>
      <c r="F80" s="39">
        <f t="shared" si="8"/>
        <v>99.99</v>
      </c>
      <c r="G80" s="23" t="s">
        <v>639</v>
      </c>
      <c r="H80" s="23" t="s">
        <v>640</v>
      </c>
      <c r="I80" s="23" t="s">
        <v>641</v>
      </c>
      <c r="J80" s="23" t="s">
        <v>157</v>
      </c>
      <c r="K80" s="23" t="s">
        <v>158</v>
      </c>
      <c r="L80" s="23" t="s">
        <v>642</v>
      </c>
      <c r="M80" s="23" t="s">
        <v>643</v>
      </c>
      <c r="N80" s="23" t="s">
        <v>531</v>
      </c>
      <c r="O80" s="23" t="s">
        <v>644</v>
      </c>
      <c r="P80" s="23" t="s">
        <v>481</v>
      </c>
      <c r="Q80" s="23" t="s">
        <v>164</v>
      </c>
      <c r="R80" s="24">
        <v>2007</v>
      </c>
      <c r="S80" s="56">
        <f>Table2[[#This Row],[delivery_time_in_seconds]]/60</f>
        <v>33.450000000000003</v>
      </c>
      <c r="T80" s="23">
        <v>300</v>
      </c>
      <c r="U80" s="23">
        <v>300</v>
      </c>
      <c r="V80" s="23">
        <v>300</v>
      </c>
      <c r="W80" s="23">
        <v>357</v>
      </c>
      <c r="X80" s="23">
        <v>41</v>
      </c>
      <c r="Y80" s="23" t="s">
        <v>645</v>
      </c>
      <c r="Z80" s="23" t="str">
        <f>IF(Table2[[#This Row],[restaurant_customer_distance]]&lt;=2,"0-2 Km",IF(Table2[[#This Row],[restaurant_customer_distance]]&lt;=5,"2-5 Km",IF(Table2[[#This Row],[restaurant_customer_distance]]&lt;=8,"5-8 Km","8+Km")))</f>
        <v>2-5 Km</v>
      </c>
      <c r="AA80" s="23">
        <v>5</v>
      </c>
      <c r="AB80" s="23" t="s">
        <v>646</v>
      </c>
      <c r="AC80" s="23" t="s">
        <v>338</v>
      </c>
      <c r="AD80" s="23" t="b">
        <v>1</v>
      </c>
      <c r="AE80" s="23">
        <v>0</v>
      </c>
      <c r="AF80" s="25">
        <f t="shared" si="9"/>
        <v>45200</v>
      </c>
      <c r="AG80" s="26" t="str">
        <f>IFERROR(VLOOKUP(AC80,#REF!,2,0),AC80)</f>
        <v>Sarjapur Road</v>
      </c>
      <c r="AH80" s="27" t="str">
        <f t="shared" si="10"/>
        <v>Paratha Envy</v>
      </c>
      <c r="AI80" s="28" t="str">
        <f t="shared" si="11"/>
        <v>12.9075344</v>
      </c>
      <c r="AJ80" s="29" t="str">
        <f t="shared" si="12"/>
        <v>77.67582123</v>
      </c>
      <c r="AK80"/>
    </row>
    <row r="81" spans="1:37">
      <c r="A81" s="22">
        <v>156956128612767</v>
      </c>
      <c r="B81" s="22" t="str">
        <f>_xlfn.XLOOKUP(Table2[[#This Row],[order_id]],swiggy_order_items!A81:A250,swiggy_order_items!B81:B250)</f>
        <v>Garlic Mayo</v>
      </c>
      <c r="C81" s="22" t="str">
        <f>_xlfn.XLOOKUP(Table2[[#This Row],[name of the food]],swiggy_order_items!B81:B250,swiggy_order_items!E81:E250)</f>
        <v>Veg</v>
      </c>
      <c r="D81" s="23" t="b">
        <v>1</v>
      </c>
      <c r="E81" s="23" t="s">
        <v>610</v>
      </c>
      <c r="F81" s="39">
        <f t="shared" si="8"/>
        <v>150</v>
      </c>
      <c r="G81" s="23" t="s">
        <v>647</v>
      </c>
      <c r="H81" s="23" t="s">
        <v>648</v>
      </c>
      <c r="I81" s="23" t="s">
        <v>649</v>
      </c>
      <c r="J81" s="23" t="s">
        <v>157</v>
      </c>
      <c r="K81" s="23" t="s">
        <v>158</v>
      </c>
      <c r="L81" s="23" t="s">
        <v>650</v>
      </c>
      <c r="M81" s="23" t="s">
        <v>361</v>
      </c>
      <c r="N81" s="23" t="s">
        <v>362</v>
      </c>
      <c r="O81" s="23" t="s">
        <v>363</v>
      </c>
      <c r="P81" s="23" t="s">
        <v>240</v>
      </c>
      <c r="Q81" s="23" t="s">
        <v>164</v>
      </c>
      <c r="R81" s="24">
        <v>927</v>
      </c>
      <c r="S81" s="56">
        <f>Table2[[#This Row],[delivery_time_in_seconds]]/60</f>
        <v>15.45</v>
      </c>
      <c r="T81" s="23">
        <v>221</v>
      </c>
      <c r="U81" s="23">
        <v>221</v>
      </c>
      <c r="V81" s="23">
        <v>221</v>
      </c>
      <c r="W81" s="23">
        <v>320.86</v>
      </c>
      <c r="X81" s="23">
        <v>33</v>
      </c>
      <c r="Y81" s="23" t="s">
        <v>615</v>
      </c>
      <c r="Z81" s="23" t="str">
        <f>IF(Table2[[#This Row],[restaurant_customer_distance]]&lt;=2,"0-2 Km",IF(Table2[[#This Row],[restaurant_customer_distance]]&lt;=5,"2-5 Km",IF(Table2[[#This Row],[restaurant_customer_distance]]&lt;=8,"5-8 Km","8+Km")))</f>
        <v>0-2 Km</v>
      </c>
      <c r="AA81" s="23">
        <v>1.3</v>
      </c>
      <c r="AB81" s="23" t="s">
        <v>646</v>
      </c>
      <c r="AC81" s="23" t="s">
        <v>240</v>
      </c>
      <c r="AD81" s="23" t="b">
        <v>0</v>
      </c>
      <c r="AE81" s="23">
        <v>0</v>
      </c>
      <c r="AF81" s="25">
        <f t="shared" si="9"/>
        <v>45200</v>
      </c>
      <c r="AG81" s="26" t="str">
        <f>IFERROR(VLOOKUP(AC81,#REF!,2,0),AC81)</f>
        <v>HSR Layout</v>
      </c>
      <c r="AH81" s="27" t="str">
        <f t="shared" si="10"/>
        <v>Leon's</v>
      </c>
      <c r="AI81" s="28" t="str">
        <f t="shared" si="11"/>
        <v>12.91183127</v>
      </c>
      <c r="AJ81" s="29" t="str">
        <f t="shared" si="12"/>
        <v>77.64382903</v>
      </c>
      <c r="AK81"/>
    </row>
    <row r="82" spans="1:37">
      <c r="A82" s="22">
        <v>156923241346336</v>
      </c>
      <c r="B82" s="22" t="str">
        <f>_xlfn.XLOOKUP(Table2[[#This Row],[order_id]],swiggy_order_items!A82:A251,swiggy_order_items!B82:B251)</f>
        <v>Chicken Varattiyathu</v>
      </c>
      <c r="C82" s="22" t="str">
        <f>_xlfn.XLOOKUP(Table2[[#This Row],[name of the food]],swiggy_order_items!B82:B251,swiggy_order_items!E82:E251)</f>
        <v>Non_Veg</v>
      </c>
      <c r="D82" s="23" t="b">
        <v>1</v>
      </c>
      <c r="E82" s="23" t="s">
        <v>610</v>
      </c>
      <c r="F82" s="39">
        <f t="shared" si="8"/>
        <v>149.97999999999999</v>
      </c>
      <c r="G82" s="23" t="s">
        <v>651</v>
      </c>
      <c r="H82" s="23" t="s">
        <v>652</v>
      </c>
      <c r="I82" s="23" t="s">
        <v>653</v>
      </c>
      <c r="J82" s="23" t="s">
        <v>157</v>
      </c>
      <c r="K82" s="23" t="s">
        <v>158</v>
      </c>
      <c r="L82" s="23" t="s">
        <v>654</v>
      </c>
      <c r="M82" s="23" t="s">
        <v>576</v>
      </c>
      <c r="N82" s="23" t="s">
        <v>577</v>
      </c>
      <c r="O82" s="23" t="s">
        <v>578</v>
      </c>
      <c r="P82" s="23" t="s">
        <v>579</v>
      </c>
      <c r="Q82" s="23" t="s">
        <v>164</v>
      </c>
      <c r="R82" s="24">
        <v>1957</v>
      </c>
      <c r="S82" s="56">
        <f>Table2[[#This Row],[delivery_time_in_seconds]]/60</f>
        <v>32.616666666666667</v>
      </c>
      <c r="T82" s="23">
        <v>289</v>
      </c>
      <c r="U82" s="23">
        <v>289</v>
      </c>
      <c r="V82" s="23">
        <v>289</v>
      </c>
      <c r="W82" s="23">
        <v>410</v>
      </c>
      <c r="X82" s="23">
        <v>41</v>
      </c>
      <c r="Y82" s="23" t="s">
        <v>580</v>
      </c>
      <c r="Z82" s="23" t="str">
        <f>IF(Table2[[#This Row],[restaurant_customer_distance]]&lt;=2,"0-2 Km",IF(Table2[[#This Row],[restaurant_customer_distance]]&lt;=5,"2-5 Km",IF(Table2[[#This Row],[restaurant_customer_distance]]&lt;=8,"5-8 Km","8+Km")))</f>
        <v>2-5 Km</v>
      </c>
      <c r="AA82" s="23">
        <v>3.3</v>
      </c>
      <c r="AB82" s="23" t="s">
        <v>646</v>
      </c>
      <c r="AC82" s="23" t="s">
        <v>581</v>
      </c>
      <c r="AD82" s="23" t="b">
        <v>0</v>
      </c>
      <c r="AE82" s="23">
        <v>0</v>
      </c>
      <c r="AF82" s="25">
        <f t="shared" si="9"/>
        <v>45200</v>
      </c>
      <c r="AG82" s="26" t="str">
        <f>IFERROR(VLOOKUP(AC82,#REF!,2,0),AC82)</f>
        <v>Bommanahalli</v>
      </c>
      <c r="AH82" s="27" t="str">
        <f t="shared" si="10"/>
        <v>Tharavadu family restaurant</v>
      </c>
      <c r="AI82" s="28" t="str">
        <f t="shared" si="11"/>
        <v>12.906146</v>
      </c>
      <c r="AJ82" s="29" t="str">
        <f t="shared" si="12"/>
        <v>77.629745</v>
      </c>
      <c r="AK82"/>
    </row>
    <row r="83" spans="1:37">
      <c r="A83" s="22">
        <v>156864275866899</v>
      </c>
      <c r="B83" s="22" t="str">
        <f>_xlfn.XLOOKUP(Table2[[#This Row],[order_id]],swiggy_order_items!A83:A252,swiggy_order_items!B83:B252)</f>
        <v>Meat Curry</v>
      </c>
      <c r="C83" s="22" t="str">
        <f>_xlfn.XLOOKUP(Table2[[#This Row],[name of the food]],swiggy_order_items!B83:B252,swiggy_order_items!E83:E252)</f>
        <v>Non_Veg</v>
      </c>
      <c r="D83" s="23" t="b">
        <v>0</v>
      </c>
      <c r="E83" s="23" t="s">
        <v>167</v>
      </c>
      <c r="F83" s="39" t="str">
        <f t="shared" si="8"/>
        <v>NO OFFER</v>
      </c>
      <c r="G83" s="23" t="s">
        <v>168</v>
      </c>
      <c r="H83" s="23" t="s">
        <v>655</v>
      </c>
      <c r="I83" s="23" t="s">
        <v>656</v>
      </c>
      <c r="J83" s="23" t="s">
        <v>157</v>
      </c>
      <c r="K83" s="23" t="s">
        <v>158</v>
      </c>
      <c r="L83" s="23" t="s">
        <v>657</v>
      </c>
      <c r="M83" s="23" t="s">
        <v>658</v>
      </c>
      <c r="N83" s="23" t="s">
        <v>659</v>
      </c>
      <c r="O83" s="23" t="s">
        <v>660</v>
      </c>
      <c r="P83" s="23" t="s">
        <v>661</v>
      </c>
      <c r="Q83" s="23" t="s">
        <v>164</v>
      </c>
      <c r="R83" s="24">
        <v>2025</v>
      </c>
      <c r="S83" s="56">
        <f>Table2[[#This Row],[delivery_time_in_seconds]]/60</f>
        <v>33.75</v>
      </c>
      <c r="T83" s="23">
        <v>265</v>
      </c>
      <c r="U83" s="23">
        <v>265</v>
      </c>
      <c r="V83" s="23">
        <v>265</v>
      </c>
      <c r="W83" s="23">
        <v>239</v>
      </c>
      <c r="X83" s="23">
        <v>49</v>
      </c>
      <c r="Y83" s="23" t="s">
        <v>662</v>
      </c>
      <c r="Z83" s="23" t="str">
        <f>IF(Table2[[#This Row],[restaurant_customer_distance]]&lt;=2,"0-2 Km",IF(Table2[[#This Row],[restaurant_customer_distance]]&lt;=5,"2-5 Km",IF(Table2[[#This Row],[restaurant_customer_distance]]&lt;=8,"5-8 Km","8+Km")))</f>
        <v>2-5 Km</v>
      </c>
      <c r="AA83" s="23">
        <v>4.2</v>
      </c>
      <c r="AB83" s="23" t="s">
        <v>646</v>
      </c>
      <c r="AC83" s="23" t="s">
        <v>331</v>
      </c>
      <c r="AD83" s="23" t="b">
        <v>0</v>
      </c>
      <c r="AE83" s="23">
        <v>0</v>
      </c>
      <c r="AF83" s="25">
        <f t="shared" si="9"/>
        <v>45200</v>
      </c>
      <c r="AG83" s="26" t="str">
        <f>IFERROR(VLOOKUP(AC83,#REF!,2,0),AC83)</f>
        <v>Bellandur</v>
      </c>
      <c r="AH83" s="27" t="str">
        <f t="shared" si="10"/>
        <v>Kairali Restaurant</v>
      </c>
      <c r="AI83" s="28" t="str">
        <f t="shared" si="11"/>
        <v>12.928069</v>
      </c>
      <c r="AJ83" s="29" t="str">
        <f t="shared" si="12"/>
        <v>77.679204</v>
      </c>
      <c r="AK83"/>
    </row>
    <row r="84" spans="1:37">
      <c r="A84" s="22">
        <v>156652104418064</v>
      </c>
      <c r="B84" s="22" t="str">
        <f>_xlfn.XLOOKUP(Table2[[#This Row],[order_id]],swiggy_order_items!A84:A253,swiggy_order_items!B84:B253)</f>
        <v>Idli (2 Pcs)</v>
      </c>
      <c r="C84" s="22" t="str">
        <f>_xlfn.XLOOKUP(Table2[[#This Row],[name of the food]],swiggy_order_items!B84:B253,swiggy_order_items!E84:E253)</f>
        <v>Veg</v>
      </c>
      <c r="D84" s="23" t="b">
        <v>1</v>
      </c>
      <c r="E84" s="23" t="s">
        <v>663</v>
      </c>
      <c r="F84" s="39">
        <f t="shared" si="8"/>
        <v>62.09</v>
      </c>
      <c r="G84" s="23" t="s">
        <v>664</v>
      </c>
      <c r="H84" s="23" t="s">
        <v>665</v>
      </c>
      <c r="I84" s="23" t="s">
        <v>666</v>
      </c>
      <c r="J84" s="23" t="s">
        <v>157</v>
      </c>
      <c r="K84" s="23" t="s">
        <v>158</v>
      </c>
      <c r="L84" s="23" t="s">
        <v>667</v>
      </c>
      <c r="M84" s="23" t="s">
        <v>668</v>
      </c>
      <c r="N84" s="23" t="s">
        <v>669</v>
      </c>
      <c r="O84" s="23" t="s">
        <v>670</v>
      </c>
      <c r="P84" s="23" t="s">
        <v>238</v>
      </c>
      <c r="Q84" s="23" t="s">
        <v>164</v>
      </c>
      <c r="R84" s="24">
        <v>753</v>
      </c>
      <c r="S84" s="56">
        <f>Table2[[#This Row],[delivery_time_in_seconds]]/60</f>
        <v>12.55</v>
      </c>
      <c r="T84" s="23">
        <v>189</v>
      </c>
      <c r="U84" s="23">
        <v>189</v>
      </c>
      <c r="V84" s="23">
        <v>189</v>
      </c>
      <c r="W84" s="23">
        <v>207</v>
      </c>
      <c r="X84" s="23">
        <v>30</v>
      </c>
      <c r="Y84" s="23" t="s">
        <v>671</v>
      </c>
      <c r="Z84" s="23" t="str">
        <f>IF(Table2[[#This Row],[restaurant_customer_distance]]&lt;=2,"0-2 Km",IF(Table2[[#This Row],[restaurant_customer_distance]]&lt;=5,"2-5 Km",IF(Table2[[#This Row],[restaurant_customer_distance]]&lt;=8,"5-8 Km","8+Km")))</f>
        <v>2-5 Km</v>
      </c>
      <c r="AA84" s="23">
        <v>2.4</v>
      </c>
      <c r="AB84" s="23" t="s">
        <v>166</v>
      </c>
      <c r="AC84" s="23" t="s">
        <v>386</v>
      </c>
      <c r="AD84" s="23" t="b">
        <v>1</v>
      </c>
      <c r="AE84" s="23">
        <v>0</v>
      </c>
      <c r="AF84" s="25">
        <f t="shared" si="9"/>
        <v>45200</v>
      </c>
      <c r="AG84" s="26" t="str">
        <f>IFERROR(VLOOKUP(AC84,#REF!,2,0),AC84)</f>
        <v>Hsr Layout</v>
      </c>
      <c r="AH84" s="27" t="str">
        <f t="shared" si="10"/>
        <v>Asha tiffins</v>
      </c>
      <c r="AI84" s="28" t="str">
        <f t="shared" si="11"/>
        <v>12.911856</v>
      </c>
      <c r="AJ84" s="29" t="str">
        <f t="shared" si="12"/>
        <v>77.6325489999999</v>
      </c>
      <c r="AK84"/>
    </row>
    <row r="85" spans="1:37">
      <c r="A85" s="22">
        <v>155826395288522</v>
      </c>
      <c r="B85" s="22" t="str">
        <f>_xlfn.XLOOKUP(Table2[[#This Row],[order_id]],swiggy_order_items!A85:A254,swiggy_order_items!B85:B254)</f>
        <v>Boneless Chicken Manchurian</v>
      </c>
      <c r="C85" s="22" t="str">
        <f>_xlfn.XLOOKUP(Table2[[#This Row],[name of the food]],swiggy_order_items!B85:B254,swiggy_order_items!E85:E254)</f>
        <v>Non_Veg</v>
      </c>
      <c r="D85" s="23" t="b">
        <v>1</v>
      </c>
      <c r="E85" s="23" t="s">
        <v>153</v>
      </c>
      <c r="F85" s="39">
        <f t="shared" si="8"/>
        <v>50</v>
      </c>
      <c r="G85" s="23" t="s">
        <v>672</v>
      </c>
      <c r="H85" s="23" t="s">
        <v>673</v>
      </c>
      <c r="I85" s="23" t="s">
        <v>674</v>
      </c>
      <c r="J85" s="23" t="s">
        <v>157</v>
      </c>
      <c r="K85" s="23" t="s">
        <v>158</v>
      </c>
      <c r="L85" s="23" t="s">
        <v>675</v>
      </c>
      <c r="M85" s="23" t="s">
        <v>676</v>
      </c>
      <c r="N85" s="23" t="s">
        <v>677</v>
      </c>
      <c r="O85" s="23" t="s">
        <v>678</v>
      </c>
      <c r="P85" s="23" t="s">
        <v>679</v>
      </c>
      <c r="Q85" s="23" t="s">
        <v>164</v>
      </c>
      <c r="R85" s="24">
        <v>1001</v>
      </c>
      <c r="S85" s="56">
        <f>Table2[[#This Row],[delivery_time_in_seconds]]/60</f>
        <v>16.683333333333334</v>
      </c>
      <c r="T85" s="23">
        <v>229</v>
      </c>
      <c r="U85" s="23">
        <v>229</v>
      </c>
      <c r="V85" s="23">
        <v>229</v>
      </c>
      <c r="W85" s="23">
        <v>258</v>
      </c>
      <c r="X85" s="23">
        <v>48</v>
      </c>
      <c r="Y85" s="23" t="s">
        <v>680</v>
      </c>
      <c r="Z85" s="23" t="str">
        <f>IF(Table2[[#This Row],[restaurant_customer_distance]]&lt;=2,"0-2 Km",IF(Table2[[#This Row],[restaurant_customer_distance]]&lt;=5,"2-5 Km",IF(Table2[[#This Row],[restaurant_customer_distance]]&lt;=8,"5-8 Km","8+Km")))</f>
        <v>0-2 Km</v>
      </c>
      <c r="AA85" s="23">
        <v>0.7</v>
      </c>
      <c r="AB85" s="23" t="s">
        <v>646</v>
      </c>
      <c r="AC85" s="23" t="s">
        <v>591</v>
      </c>
      <c r="AD85" s="23" t="b">
        <v>1</v>
      </c>
      <c r="AE85" s="23">
        <v>2</v>
      </c>
      <c r="AF85" s="25">
        <f t="shared" si="9"/>
        <v>45200</v>
      </c>
      <c r="AG85" s="26" t="str">
        <f>IFERROR(VLOOKUP(AC85,#REF!,2,0),AC85)</f>
        <v>HSR</v>
      </c>
      <c r="AH85" s="27" t="str">
        <f t="shared" si="10"/>
        <v>Imperio Restaurant</v>
      </c>
      <c r="AI85" s="28" t="str">
        <f t="shared" si="11"/>
        <v>12.91181824</v>
      </c>
      <c r="AJ85" s="29" t="str">
        <f t="shared" si="12"/>
        <v>77.6495233</v>
      </c>
      <c r="AK85"/>
    </row>
    <row r="86" spans="1:37">
      <c r="A86" s="22">
        <v>154933952448406</v>
      </c>
      <c r="B86" s="22" t="str">
        <f>_xlfn.XLOOKUP(Table2[[#This Row],[order_id]],swiggy_order_items!A86:A255,swiggy_order_items!B86:B255)</f>
        <v>Aloo Cheese Paratha</v>
      </c>
      <c r="C86" s="22" t="str">
        <f>_xlfn.XLOOKUP(Table2[[#This Row],[name of the food]],swiggy_order_items!B86:B255,swiggy_order_items!E86:E255)</f>
        <v>Veg</v>
      </c>
      <c r="D86" s="23" t="b">
        <v>0</v>
      </c>
      <c r="E86" s="23" t="s">
        <v>167</v>
      </c>
      <c r="F86" s="39" t="str">
        <f t="shared" si="8"/>
        <v>NO OFFER</v>
      </c>
      <c r="G86" s="23" t="s">
        <v>168</v>
      </c>
      <c r="H86" s="23" t="s">
        <v>681</v>
      </c>
      <c r="I86" s="23" t="s">
        <v>682</v>
      </c>
      <c r="J86" s="23" t="s">
        <v>157</v>
      </c>
      <c r="K86" s="23" t="s">
        <v>158</v>
      </c>
      <c r="L86" s="23" t="s">
        <v>683</v>
      </c>
      <c r="M86" s="23" t="s">
        <v>643</v>
      </c>
      <c r="N86" s="23" t="s">
        <v>531</v>
      </c>
      <c r="O86" s="23" t="s">
        <v>644</v>
      </c>
      <c r="P86" s="23" t="s">
        <v>481</v>
      </c>
      <c r="Q86" s="23" t="s">
        <v>164</v>
      </c>
      <c r="R86" s="24">
        <v>2566</v>
      </c>
      <c r="S86" s="56">
        <f>Table2[[#This Row],[delivery_time_in_seconds]]/60</f>
        <v>42.766666666666666</v>
      </c>
      <c r="T86" s="23">
        <v>553</v>
      </c>
      <c r="U86" s="23">
        <v>553</v>
      </c>
      <c r="V86" s="23">
        <v>553</v>
      </c>
      <c r="W86" s="23">
        <v>535</v>
      </c>
      <c r="X86" s="23">
        <v>44</v>
      </c>
      <c r="Y86" s="23" t="s">
        <v>645</v>
      </c>
      <c r="Z86" s="23" t="str">
        <f>IF(Table2[[#This Row],[restaurant_customer_distance]]&lt;=2,"0-2 Km",IF(Table2[[#This Row],[restaurant_customer_distance]]&lt;=5,"2-5 Km",IF(Table2[[#This Row],[restaurant_customer_distance]]&lt;=8,"5-8 Km","8+Km")))</f>
        <v>2-5 Km</v>
      </c>
      <c r="AA86" s="23">
        <v>5</v>
      </c>
      <c r="AB86" s="23" t="s">
        <v>166</v>
      </c>
      <c r="AC86" s="23" t="s">
        <v>338</v>
      </c>
      <c r="AD86" s="23" t="b">
        <v>1</v>
      </c>
      <c r="AE86" s="23">
        <v>0</v>
      </c>
      <c r="AF86" s="25">
        <f t="shared" si="9"/>
        <v>45170</v>
      </c>
      <c r="AG86" s="26" t="str">
        <f>IFERROR(VLOOKUP(AC86,#REF!,2,0),AC86)</f>
        <v>Sarjapur Road</v>
      </c>
      <c r="AH86" s="27" t="str">
        <f t="shared" si="10"/>
        <v>Paratha Envy</v>
      </c>
      <c r="AI86" s="28" t="str">
        <f t="shared" si="11"/>
        <v>12.9075344</v>
      </c>
      <c r="AJ86" s="29" t="str">
        <f t="shared" si="12"/>
        <v>77.67582123</v>
      </c>
      <c r="AK86"/>
    </row>
    <row r="87" spans="1:37">
      <c r="A87" s="22">
        <v>178713153585</v>
      </c>
      <c r="B87" s="22" t="str">
        <f>_xlfn.XLOOKUP(Table2[[#This Row],[order_id]],swiggy_order_items!A87:A256,swiggy_order_items!B87:B256)</f>
        <v>Tender Coconut Pudding</v>
      </c>
      <c r="C87" s="22" t="str">
        <f>_xlfn.XLOOKUP(Table2[[#This Row],[name of the food]],swiggy_order_items!B87:B256,swiggy_order_items!E87:E256)</f>
        <v>Veg</v>
      </c>
      <c r="D87" s="23" t="b">
        <v>1</v>
      </c>
      <c r="E87" s="23" t="s">
        <v>252</v>
      </c>
      <c r="F87" s="39">
        <f t="shared" si="8"/>
        <v>119.99</v>
      </c>
      <c r="G87" s="23" t="s">
        <v>684</v>
      </c>
      <c r="H87" s="23" t="s">
        <v>685</v>
      </c>
      <c r="I87" s="23" t="s">
        <v>686</v>
      </c>
      <c r="J87" s="23" t="s">
        <v>157</v>
      </c>
      <c r="K87" s="23" t="s">
        <v>158</v>
      </c>
      <c r="L87" s="23" t="s">
        <v>687</v>
      </c>
      <c r="M87" s="23" t="s">
        <v>576</v>
      </c>
      <c r="N87" s="23" t="s">
        <v>577</v>
      </c>
      <c r="O87" s="23" t="s">
        <v>578</v>
      </c>
      <c r="P87" s="23" t="s">
        <v>579</v>
      </c>
      <c r="Q87" s="23" t="s">
        <v>164</v>
      </c>
      <c r="R87" s="24">
        <v>1467</v>
      </c>
      <c r="S87" s="56">
        <f>Table2[[#This Row],[delivery_time_in_seconds]]/60</f>
        <v>24.45</v>
      </c>
      <c r="T87" s="23">
        <v>362</v>
      </c>
      <c r="U87" s="23">
        <v>362</v>
      </c>
      <c r="V87" s="23">
        <v>362</v>
      </c>
      <c r="W87" s="23">
        <v>441</v>
      </c>
      <c r="X87" s="23">
        <v>34</v>
      </c>
      <c r="Y87" s="23" t="s">
        <v>580</v>
      </c>
      <c r="Z87" s="23" t="str">
        <f>IF(Table2[[#This Row],[restaurant_customer_distance]]&lt;=2,"0-2 Km",IF(Table2[[#This Row],[restaurant_customer_distance]]&lt;=5,"2-5 Km",IF(Table2[[#This Row],[restaurant_customer_distance]]&lt;=8,"5-8 Km","8+Km")))</f>
        <v>2-5 Km</v>
      </c>
      <c r="AA87" s="23">
        <v>3.3</v>
      </c>
      <c r="AB87" s="23" t="s">
        <v>166</v>
      </c>
      <c r="AC87" s="23" t="s">
        <v>581</v>
      </c>
      <c r="AD87" s="23" t="b">
        <v>1</v>
      </c>
      <c r="AE87" s="23">
        <v>0</v>
      </c>
      <c r="AF87" s="25">
        <f t="shared" si="9"/>
        <v>45170</v>
      </c>
      <c r="AG87" s="26" t="str">
        <f>IFERROR(VLOOKUP(AC87,#REF!,2,0),AC87)</f>
        <v>Bommanahalli</v>
      </c>
      <c r="AH87" s="27" t="str">
        <f t="shared" si="10"/>
        <v>Tharavadu family restaurant</v>
      </c>
      <c r="AI87" s="28" t="str">
        <f t="shared" si="11"/>
        <v>12.906146</v>
      </c>
      <c r="AJ87" s="29" t="str">
        <f t="shared" si="12"/>
        <v>77.629745</v>
      </c>
      <c r="AK87"/>
    </row>
    <row r="88" spans="1:37">
      <c r="A88" s="22">
        <v>178539970232</v>
      </c>
      <c r="B88" s="22" t="str">
        <f>_xlfn.XLOOKUP(Table2[[#This Row],[order_id]],swiggy_order_items!A88:A257,swiggy_order_items!B88:B257)</f>
        <v>Sugarcane With Ginger</v>
      </c>
      <c r="C88" s="22" t="str">
        <f>_xlfn.XLOOKUP(Table2[[#This Row],[name of the food]],swiggy_order_items!B88:B257,swiggy_order_items!E88:E257)</f>
        <v>Veg</v>
      </c>
      <c r="D88" s="23" t="b">
        <v>0</v>
      </c>
      <c r="E88" s="23" t="s">
        <v>167</v>
      </c>
      <c r="F88" s="39" t="str">
        <f t="shared" si="8"/>
        <v>NO OFFER</v>
      </c>
      <c r="G88" s="23" t="s">
        <v>168</v>
      </c>
      <c r="H88" s="23" t="s">
        <v>688</v>
      </c>
      <c r="I88" s="23" t="s">
        <v>689</v>
      </c>
      <c r="J88" s="23" t="s">
        <v>157</v>
      </c>
      <c r="K88" s="23" t="s">
        <v>158</v>
      </c>
      <c r="L88" s="23" t="s">
        <v>690</v>
      </c>
      <c r="M88" s="23" t="s">
        <v>691</v>
      </c>
      <c r="N88" s="23" t="s">
        <v>692</v>
      </c>
      <c r="O88" s="23" t="s">
        <v>693</v>
      </c>
      <c r="P88" s="23" t="s">
        <v>504</v>
      </c>
      <c r="Q88" s="23" t="s">
        <v>164</v>
      </c>
      <c r="R88" s="24">
        <v>1835</v>
      </c>
      <c r="S88" s="56">
        <f>Table2[[#This Row],[delivery_time_in_seconds]]/60</f>
        <v>30.583333333333332</v>
      </c>
      <c r="T88" s="23">
        <v>281</v>
      </c>
      <c r="U88" s="23">
        <v>281</v>
      </c>
      <c r="V88" s="23">
        <v>281</v>
      </c>
      <c r="W88" s="23">
        <v>256</v>
      </c>
      <c r="X88" s="23">
        <v>31</v>
      </c>
      <c r="Y88" s="23" t="s">
        <v>694</v>
      </c>
      <c r="Z88" s="23" t="str">
        <f>IF(Table2[[#This Row],[restaurant_customer_distance]]&lt;=2,"0-2 Km",IF(Table2[[#This Row],[restaurant_customer_distance]]&lt;=5,"2-5 Km",IF(Table2[[#This Row],[restaurant_customer_distance]]&lt;=8,"5-8 Km","8+Km")))</f>
        <v>0-2 Km</v>
      </c>
      <c r="AA88" s="23">
        <v>0.5</v>
      </c>
      <c r="AB88" s="23" t="s">
        <v>166</v>
      </c>
      <c r="AC88" s="23" t="s">
        <v>386</v>
      </c>
      <c r="AD88" s="23" t="b">
        <v>0</v>
      </c>
      <c r="AE88" s="23">
        <v>0</v>
      </c>
      <c r="AF88" s="25">
        <f t="shared" si="9"/>
        <v>45170</v>
      </c>
      <c r="AG88" s="26" t="str">
        <f>IFERROR(VLOOKUP(AC88,#REF!,2,0),AC88)</f>
        <v>Hsr Layout</v>
      </c>
      <c r="AH88" s="27" t="str">
        <f t="shared" si="10"/>
        <v>HSR Freshcane Juice</v>
      </c>
      <c r="AI88" s="28" t="str">
        <f t="shared" si="11"/>
        <v>12.912110164242</v>
      </c>
      <c r="AJ88" s="29" t="str">
        <f t="shared" si="12"/>
        <v>77.648900840197</v>
      </c>
      <c r="AK88"/>
    </row>
    <row r="89" spans="1:37">
      <c r="A89" s="22">
        <v>178180906036</v>
      </c>
      <c r="B89" s="22" t="str">
        <f>_xlfn.XLOOKUP(Table2[[#This Row],[order_id]],swiggy_order_items!A89:A258,swiggy_order_items!B89:B258)</f>
        <v>Boneless Chicken Manchurian</v>
      </c>
      <c r="C89" s="22" t="str">
        <f>_xlfn.XLOOKUP(Table2[[#This Row],[name of the food]],swiggy_order_items!B89:B258,swiggy_order_items!E89:E258)</f>
        <v>Non_Veg</v>
      </c>
      <c r="D89" s="23" t="b">
        <v>1</v>
      </c>
      <c r="E89" s="23" t="s">
        <v>252</v>
      </c>
      <c r="F89" s="39">
        <f t="shared" si="8"/>
        <v>49.99</v>
      </c>
      <c r="G89" s="23" t="s">
        <v>695</v>
      </c>
      <c r="H89" s="23" t="s">
        <v>696</v>
      </c>
      <c r="I89" s="23" t="s">
        <v>697</v>
      </c>
      <c r="J89" s="23" t="s">
        <v>157</v>
      </c>
      <c r="K89" s="23" t="s">
        <v>158</v>
      </c>
      <c r="L89" s="23" t="s">
        <v>698</v>
      </c>
      <c r="M89" s="23" t="s">
        <v>676</v>
      </c>
      <c r="N89" s="23" t="s">
        <v>677</v>
      </c>
      <c r="O89" s="23" t="s">
        <v>678</v>
      </c>
      <c r="P89" s="23" t="s">
        <v>679</v>
      </c>
      <c r="Q89" s="23" t="s">
        <v>164</v>
      </c>
      <c r="R89" s="24">
        <v>971</v>
      </c>
      <c r="S89" s="56">
        <f>Table2[[#This Row],[delivery_time_in_seconds]]/60</f>
        <v>16.183333333333334</v>
      </c>
      <c r="T89" s="23">
        <v>301</v>
      </c>
      <c r="U89" s="23">
        <v>301</v>
      </c>
      <c r="V89" s="23">
        <v>301</v>
      </c>
      <c r="W89" s="23">
        <v>318</v>
      </c>
      <c r="X89" s="23">
        <v>28</v>
      </c>
      <c r="Y89" s="23" t="s">
        <v>680</v>
      </c>
      <c r="Z89" s="23" t="str">
        <f>IF(Table2[[#This Row],[restaurant_customer_distance]]&lt;=2,"0-2 Km",IF(Table2[[#This Row],[restaurant_customer_distance]]&lt;=5,"2-5 Km",IF(Table2[[#This Row],[restaurant_customer_distance]]&lt;=8,"5-8 Km","8+Km")))</f>
        <v>0-2 Km</v>
      </c>
      <c r="AA89" s="23">
        <v>0.7</v>
      </c>
      <c r="AB89" s="23" t="s">
        <v>166</v>
      </c>
      <c r="AC89" s="23" t="s">
        <v>591</v>
      </c>
      <c r="AD89" s="23" t="b">
        <v>1</v>
      </c>
      <c r="AE89" s="23">
        <v>0</v>
      </c>
      <c r="AF89" s="25">
        <f t="shared" si="9"/>
        <v>45170</v>
      </c>
      <c r="AG89" s="26" t="str">
        <f>IFERROR(VLOOKUP(AC89,#REF!,2,0),AC89)</f>
        <v>HSR</v>
      </c>
      <c r="AH89" s="27" t="str">
        <f t="shared" si="10"/>
        <v>Imperio Restaurant</v>
      </c>
      <c r="AI89" s="28" t="str">
        <f t="shared" si="11"/>
        <v>12.91181824</v>
      </c>
      <c r="AJ89" s="29" t="str">
        <f t="shared" si="12"/>
        <v>77.6495233</v>
      </c>
      <c r="AK89"/>
    </row>
    <row r="90" spans="1:37">
      <c r="A90" s="22">
        <v>178090781440</v>
      </c>
      <c r="B90" s="22" t="str">
        <f>_xlfn.XLOOKUP(Table2[[#This Row],[order_id]],swiggy_order_items!A90:A259,swiggy_order_items!B90:B259)</f>
        <v>Dosa (2 Pcs) Chicken Curry</v>
      </c>
      <c r="C90" s="22" t="str">
        <f>_xlfn.XLOOKUP(Table2[[#This Row],[name of the food]],swiggy_order_items!B90:B259,swiggy_order_items!E90:E259)</f>
        <v>Non_Veg</v>
      </c>
      <c r="D90" s="23" t="b">
        <v>0</v>
      </c>
      <c r="E90" s="23" t="s">
        <v>167</v>
      </c>
      <c r="F90" s="39" t="str">
        <f t="shared" si="8"/>
        <v>NO OFFER</v>
      </c>
      <c r="G90" s="23" t="s">
        <v>168</v>
      </c>
      <c r="H90" s="23" t="s">
        <v>699</v>
      </c>
      <c r="I90" s="23" t="s">
        <v>700</v>
      </c>
      <c r="J90" s="23" t="s">
        <v>157</v>
      </c>
      <c r="K90" s="23" t="s">
        <v>158</v>
      </c>
      <c r="L90" s="23" t="s">
        <v>701</v>
      </c>
      <c r="M90" s="23" t="s">
        <v>623</v>
      </c>
      <c r="N90" s="23" t="s">
        <v>624</v>
      </c>
      <c r="O90" s="23" t="s">
        <v>625</v>
      </c>
      <c r="P90" s="23" t="s">
        <v>238</v>
      </c>
      <c r="Q90" s="23" t="s">
        <v>164</v>
      </c>
      <c r="R90" s="24">
        <v>2783</v>
      </c>
      <c r="S90" s="56">
        <f>Table2[[#This Row],[delivery_time_in_seconds]]/60</f>
        <v>46.383333333333333</v>
      </c>
      <c r="T90" s="23">
        <v>190</v>
      </c>
      <c r="U90" s="23">
        <v>190</v>
      </c>
      <c r="V90" s="23">
        <v>190</v>
      </c>
      <c r="W90" s="23">
        <v>169</v>
      </c>
      <c r="X90" s="23">
        <v>28</v>
      </c>
      <c r="Y90" s="23" t="s">
        <v>626</v>
      </c>
      <c r="Z90" s="23" t="str">
        <f>IF(Table2[[#This Row],[restaurant_customer_distance]]&lt;=2,"0-2 Km",IF(Table2[[#This Row],[restaurant_customer_distance]]&lt;=5,"2-5 Km",IF(Table2[[#This Row],[restaurant_customer_distance]]&lt;=8,"5-8 Km","8+Km")))</f>
        <v>0-2 Km</v>
      </c>
      <c r="AA90" s="23">
        <v>2</v>
      </c>
      <c r="AB90" s="23" t="s">
        <v>166</v>
      </c>
      <c r="AC90" s="23" t="s">
        <v>240</v>
      </c>
      <c r="AD90" s="23" t="b">
        <v>1</v>
      </c>
      <c r="AE90" s="23">
        <v>0</v>
      </c>
      <c r="AF90" s="25">
        <f t="shared" si="9"/>
        <v>45170</v>
      </c>
      <c r="AG90" s="26" t="str">
        <f>IFERROR(VLOOKUP(AC90,#REF!,2,0),AC90)</f>
        <v>HSR Layout</v>
      </c>
      <c r="AH90" s="27" t="str">
        <f t="shared" si="10"/>
        <v>Dosa Chicken &amp; Tiffins</v>
      </c>
      <c r="AI90" s="28" t="str">
        <f t="shared" si="11"/>
        <v>12.912837</v>
      </c>
      <c r="AJ90" s="29" t="str">
        <f t="shared" si="12"/>
        <v>77.63510900000006</v>
      </c>
      <c r="AK90"/>
    </row>
    <row r="91" spans="1:37">
      <c r="A91" s="22">
        <v>177591184372</v>
      </c>
      <c r="B91" s="22" t="str">
        <f>_xlfn.XLOOKUP(Table2[[#This Row],[order_id]],swiggy_order_items!A91:A260,swiggy_order_items!B91:B260)</f>
        <v>Spicy Chick'n Cheese</v>
      </c>
      <c r="C91" s="22" t="str">
        <f>_xlfn.XLOOKUP(Table2[[#This Row],[name of the food]],swiggy_order_items!B91:B260,swiggy_order_items!E91:E260)</f>
        <v>Non_Veg</v>
      </c>
      <c r="D91" s="23" t="b">
        <v>1</v>
      </c>
      <c r="E91" s="23" t="s">
        <v>702</v>
      </c>
      <c r="F91" s="39">
        <f t="shared" si="8"/>
        <v>80</v>
      </c>
      <c r="G91" s="23" t="s">
        <v>703</v>
      </c>
      <c r="H91" s="23" t="s">
        <v>704</v>
      </c>
      <c r="I91" s="23" t="s">
        <v>705</v>
      </c>
      <c r="J91" s="23" t="s">
        <v>157</v>
      </c>
      <c r="K91" s="23" t="s">
        <v>158</v>
      </c>
      <c r="L91" s="23" t="s">
        <v>706</v>
      </c>
      <c r="M91" s="23" t="s">
        <v>382</v>
      </c>
      <c r="N91" s="23" t="s">
        <v>383</v>
      </c>
      <c r="O91" s="23" t="s">
        <v>384</v>
      </c>
      <c r="P91" s="23" t="s">
        <v>238</v>
      </c>
      <c r="Q91" s="23" t="s">
        <v>164</v>
      </c>
      <c r="R91" s="24">
        <v>1091</v>
      </c>
      <c r="S91" s="56">
        <f>Table2[[#This Row],[delivery_time_in_seconds]]/60</f>
        <v>18.183333333333334</v>
      </c>
      <c r="T91" s="23">
        <v>244</v>
      </c>
      <c r="U91" s="23">
        <v>244</v>
      </c>
      <c r="V91" s="23">
        <v>244</v>
      </c>
      <c r="W91" s="23">
        <v>299</v>
      </c>
      <c r="X91" s="23">
        <v>28</v>
      </c>
      <c r="Y91" s="23" t="s">
        <v>385</v>
      </c>
      <c r="Z91" s="23" t="str">
        <f>IF(Table2[[#This Row],[restaurant_customer_distance]]&lt;=2,"0-2 Km",IF(Table2[[#This Row],[restaurant_customer_distance]]&lt;=5,"2-5 Km",IF(Table2[[#This Row],[restaurant_customer_distance]]&lt;=8,"5-8 Km","8+Km")))</f>
        <v>0-2 Km</v>
      </c>
      <c r="AA91" s="23">
        <v>1.7</v>
      </c>
      <c r="AB91" s="23" t="s">
        <v>166</v>
      </c>
      <c r="AC91" s="23" t="s">
        <v>386</v>
      </c>
      <c r="AD91" s="23" t="b">
        <v>1</v>
      </c>
      <c r="AE91" s="23">
        <v>0</v>
      </c>
      <c r="AF91" s="25">
        <f t="shared" si="9"/>
        <v>45170</v>
      </c>
      <c r="AG91" s="26" t="str">
        <f>IFERROR(VLOOKUP(AC91,#REF!,2,0),AC91)</f>
        <v>Hsr Layout</v>
      </c>
      <c r="AH91" s="27" t="str">
        <f t="shared" si="10"/>
        <v>Subway</v>
      </c>
      <c r="AI91" s="28" t="str">
        <f t="shared" si="11"/>
        <v>12.9118135</v>
      </c>
      <c r="AJ91" s="29" t="str">
        <f t="shared" si="12"/>
        <v>77.637958</v>
      </c>
      <c r="AK91"/>
    </row>
    <row r="92" spans="1:37">
      <c r="A92" s="22">
        <v>177445532607</v>
      </c>
      <c r="B92" s="22" t="str">
        <f>_xlfn.XLOOKUP(Table2[[#This Row],[order_id]],swiggy_order_items!A92:A261,swiggy_order_items!B92:B261)</f>
        <v>12" Badmash Pizza</v>
      </c>
      <c r="C92" s="22" t="str">
        <f>_xlfn.XLOOKUP(Table2[[#This Row],[name of the food]],swiggy_order_items!B92:B261,swiggy_order_items!E92:E261)</f>
        <v>Non_Veg</v>
      </c>
      <c r="D92" s="23" t="b">
        <v>1</v>
      </c>
      <c r="E92" s="23" t="s">
        <v>707</v>
      </c>
      <c r="F92" s="39">
        <f t="shared" si="8"/>
        <v>138</v>
      </c>
      <c r="G92" s="23" t="s">
        <v>708</v>
      </c>
      <c r="H92" s="23" t="s">
        <v>709</v>
      </c>
      <c r="I92" s="23" t="s">
        <v>710</v>
      </c>
      <c r="J92" s="23" t="s">
        <v>157</v>
      </c>
      <c r="K92" s="23" t="s">
        <v>158</v>
      </c>
      <c r="L92" s="23" t="s">
        <v>711</v>
      </c>
      <c r="M92" s="23" t="s">
        <v>712</v>
      </c>
      <c r="N92" s="23" t="s">
        <v>713</v>
      </c>
      <c r="O92" s="23" t="s">
        <v>714</v>
      </c>
      <c r="P92" s="23" t="s">
        <v>504</v>
      </c>
      <c r="Q92" s="23" t="s">
        <v>164</v>
      </c>
      <c r="R92" s="24">
        <v>2259</v>
      </c>
      <c r="S92" s="56">
        <f>Table2[[#This Row],[delivery_time_in_seconds]]/60</f>
        <v>37.65</v>
      </c>
      <c r="T92" s="23">
        <v>1369</v>
      </c>
      <c r="U92" s="23">
        <v>1369</v>
      </c>
      <c r="V92" s="23">
        <v>1369</v>
      </c>
      <c r="W92" s="23">
        <v>1380</v>
      </c>
      <c r="X92" s="23">
        <v>41</v>
      </c>
      <c r="Y92" s="23" t="s">
        <v>715</v>
      </c>
      <c r="Z92" s="23" t="str">
        <f>IF(Table2[[#This Row],[restaurant_customer_distance]]&lt;=2,"0-2 Km",IF(Table2[[#This Row],[restaurant_customer_distance]]&lt;=5,"2-5 Km",IF(Table2[[#This Row],[restaurant_customer_distance]]&lt;=8,"5-8 Km","8+Km")))</f>
        <v>0-2 Km</v>
      </c>
      <c r="AA92" s="23">
        <v>0.8</v>
      </c>
      <c r="AB92" s="23" t="s">
        <v>166</v>
      </c>
      <c r="AC92" s="23" t="s">
        <v>240</v>
      </c>
      <c r="AD92" s="23" t="b">
        <v>1</v>
      </c>
      <c r="AE92" s="23">
        <v>0</v>
      </c>
      <c r="AF92" s="25">
        <f t="shared" si="9"/>
        <v>45170</v>
      </c>
      <c r="AG92" s="26" t="str">
        <f>IFERROR(VLOOKUP(AC92,#REF!,2,0),AC92)</f>
        <v>HSR Layout</v>
      </c>
      <c r="AH92" s="27" t="str">
        <f t="shared" si="10"/>
        <v>Plan B</v>
      </c>
      <c r="AI92" s="28" t="str">
        <f t="shared" si="11"/>
        <v>12.912120631518187</v>
      </c>
      <c r="AJ92" s="29" t="str">
        <f t="shared" si="12"/>
        <v>77.65069759736535</v>
      </c>
      <c r="AK92"/>
    </row>
    <row r="93" spans="1:37">
      <c r="A93" s="22">
        <v>177265186487</v>
      </c>
      <c r="B93" s="22" t="str">
        <f>_xlfn.XLOOKUP(Table2[[#This Row],[order_id]],swiggy_order_items!A93:A262,swiggy_order_items!B93:B262)</f>
        <v>Firecracker Wings</v>
      </c>
      <c r="C93" s="22" t="str">
        <f>_xlfn.XLOOKUP(Table2[[#This Row],[name of the food]],swiggy_order_items!B93:B262,swiggy_order_items!E93:E262)</f>
        <v>Non_Veg</v>
      </c>
      <c r="D93" s="23" t="b">
        <v>1</v>
      </c>
      <c r="E93" s="23" t="s">
        <v>707</v>
      </c>
      <c r="F93" s="39">
        <f t="shared" si="8"/>
        <v>197</v>
      </c>
      <c r="G93" s="23" t="s">
        <v>716</v>
      </c>
      <c r="H93" s="23" t="s">
        <v>717</v>
      </c>
      <c r="I93" s="23" t="s">
        <v>718</v>
      </c>
      <c r="J93" s="23" t="s">
        <v>157</v>
      </c>
      <c r="K93" s="23" t="s">
        <v>158</v>
      </c>
      <c r="L93" s="23" t="s">
        <v>719</v>
      </c>
      <c r="M93" s="23" t="s">
        <v>712</v>
      </c>
      <c r="N93" s="23" t="s">
        <v>713</v>
      </c>
      <c r="O93" s="23" t="s">
        <v>714</v>
      </c>
      <c r="P93" s="23" t="s">
        <v>504</v>
      </c>
      <c r="Q93" s="23" t="s">
        <v>164</v>
      </c>
      <c r="R93" s="24">
        <v>2907</v>
      </c>
      <c r="S93" s="56">
        <f>Table2[[#This Row],[delivery_time_in_seconds]]/60</f>
        <v>48.45</v>
      </c>
      <c r="T93" s="23">
        <v>1905</v>
      </c>
      <c r="U93" s="23">
        <v>1905</v>
      </c>
      <c r="V93" s="23">
        <v>1905</v>
      </c>
      <c r="W93" s="23">
        <v>1970</v>
      </c>
      <c r="X93" s="23">
        <v>37</v>
      </c>
      <c r="Y93" s="23" t="s">
        <v>715</v>
      </c>
      <c r="Z93" s="23" t="str">
        <f>IF(Table2[[#This Row],[restaurant_customer_distance]]&lt;=2,"0-2 Km",IF(Table2[[#This Row],[restaurant_customer_distance]]&lt;=5,"2-5 Km",IF(Table2[[#This Row],[restaurant_customer_distance]]&lt;=8,"5-8 Km","8+Km")))</f>
        <v>0-2 Km</v>
      </c>
      <c r="AA93" s="23">
        <v>0.7</v>
      </c>
      <c r="AB93" s="23" t="s">
        <v>166</v>
      </c>
      <c r="AC93" s="23" t="s">
        <v>240</v>
      </c>
      <c r="AD93" s="23" t="b">
        <v>1</v>
      </c>
      <c r="AE93" s="23">
        <v>0</v>
      </c>
      <c r="AF93" s="25">
        <f t="shared" si="9"/>
        <v>45170</v>
      </c>
      <c r="AG93" s="26" t="str">
        <f>IFERROR(VLOOKUP(AC93,#REF!,2,0),AC93)</f>
        <v>HSR Layout</v>
      </c>
      <c r="AH93" s="27" t="str">
        <f t="shared" si="10"/>
        <v>Plan B</v>
      </c>
      <c r="AI93" s="28" t="str">
        <f t="shared" si="11"/>
        <v>12.912120631518187</v>
      </c>
      <c r="AJ93" s="29" t="str">
        <f t="shared" si="12"/>
        <v>77.65069759736535</v>
      </c>
      <c r="AK93"/>
    </row>
    <row r="94" spans="1:37">
      <c r="A94" s="22">
        <v>176793394432</v>
      </c>
      <c r="B94" s="22" t="str">
        <f>_xlfn.XLOOKUP(Table2[[#This Row],[order_id]],swiggy_order_items!A94:A263,swiggy_order_items!B94:B263)</f>
        <v>Chocolate And Love Smoothie Bowl</v>
      </c>
      <c r="C94" s="22" t="str">
        <f>_xlfn.XLOOKUP(Table2[[#This Row],[name of the food]],swiggy_order_items!B94:B263,swiggy_order_items!E94:E263)</f>
        <v>Veg</v>
      </c>
      <c r="D94" s="23" t="b">
        <v>1</v>
      </c>
      <c r="E94" s="23" t="s">
        <v>252</v>
      </c>
      <c r="F94" s="39">
        <f t="shared" si="8"/>
        <v>39.799999999999997</v>
      </c>
      <c r="G94" s="23" t="s">
        <v>720</v>
      </c>
      <c r="H94" s="23" t="s">
        <v>721</v>
      </c>
      <c r="I94" s="23" t="str">
        <f>Table2[[#This Row],[order_time]]</f>
        <v>2023-09-03 10:46:35</v>
      </c>
      <c r="J94" s="23" t="s">
        <v>157</v>
      </c>
      <c r="K94" s="23" t="s">
        <v>158</v>
      </c>
      <c r="L94" s="23" t="s">
        <v>722</v>
      </c>
      <c r="M94" s="23" t="s">
        <v>723</v>
      </c>
      <c r="N94" s="23" t="s">
        <v>724</v>
      </c>
      <c r="O94" s="23" t="s">
        <v>725</v>
      </c>
      <c r="P94" s="23" t="s">
        <v>726</v>
      </c>
      <c r="Q94" s="23" t="s">
        <v>164</v>
      </c>
      <c r="R94" s="24">
        <v>1712</v>
      </c>
      <c r="S94" s="56">
        <f>Table2[[#This Row],[delivery_time_in_seconds]]/60</f>
        <v>28.533333333333335</v>
      </c>
      <c r="T94" s="23">
        <v>399</v>
      </c>
      <c r="U94" s="23">
        <v>399</v>
      </c>
      <c r="V94" s="23">
        <v>399</v>
      </c>
      <c r="W94" s="23">
        <v>398</v>
      </c>
      <c r="X94" s="23">
        <v>44</v>
      </c>
      <c r="Y94" s="23" t="s">
        <v>727</v>
      </c>
      <c r="Z94" s="23" t="str">
        <f>IF(Table2[[#This Row],[restaurant_customer_distance]]&lt;=2,"0-2 Km",IF(Table2[[#This Row],[restaurant_customer_distance]]&lt;=5,"2-5 Km",IF(Table2[[#This Row],[restaurant_customer_distance]]&lt;=8,"5-8 Km","8+Km")))</f>
        <v>2-5 Km</v>
      </c>
      <c r="AA94" s="23">
        <v>4.4000000000000004</v>
      </c>
      <c r="AB94" s="23" t="s">
        <v>646</v>
      </c>
      <c r="AC94" s="23" t="s">
        <v>416</v>
      </c>
      <c r="AD94" s="23" t="b">
        <v>0</v>
      </c>
      <c r="AE94" s="23">
        <v>0</v>
      </c>
      <c r="AF94" s="25">
        <f t="shared" si="9"/>
        <v>45170</v>
      </c>
      <c r="AG94" s="26" t="str">
        <f>IFERROR(VLOOKUP(AC94,#REF!,2,0),AC94)</f>
        <v>Koramangala</v>
      </c>
      <c r="AH94" s="27" t="str">
        <f t="shared" si="10"/>
        <v>Drunken Monkey</v>
      </c>
      <c r="AI94" s="28" t="str">
        <f t="shared" si="11"/>
        <v>12.934488559072948</v>
      </c>
      <c r="AJ94" s="29" t="str">
        <f t="shared" si="12"/>
        <v>77.62886978481599</v>
      </c>
      <c r="AK94"/>
    </row>
    <row r="95" spans="1:37">
      <c r="A95" s="22">
        <v>176745115332</v>
      </c>
      <c r="B95" s="22" t="str">
        <f>_xlfn.XLOOKUP(Table2[[#This Row],[order_id]],swiggy_order_items!A95:A264,swiggy_order_items!B95:B264)</f>
        <v>Veg. Ramyun</v>
      </c>
      <c r="C95" s="22" t="str">
        <f>_xlfn.XLOOKUP(Table2[[#This Row],[name of the food]],swiggy_order_items!B95:B264,swiggy_order_items!E95:E264)</f>
        <v>Veg</v>
      </c>
      <c r="D95" s="23" t="b">
        <v>1</v>
      </c>
      <c r="E95" s="23" t="s">
        <v>252</v>
      </c>
      <c r="F95" s="39">
        <f t="shared" si="8"/>
        <v>100</v>
      </c>
      <c r="G95" s="23" t="s">
        <v>728</v>
      </c>
      <c r="H95" s="23" t="s">
        <v>729</v>
      </c>
      <c r="I95" s="23" t="str">
        <f>Table2[[#This Row],[order_time]]</f>
        <v>2023-09-02 21:21:56</v>
      </c>
      <c r="J95" s="23" t="s">
        <v>157</v>
      </c>
      <c r="K95" s="23" t="s">
        <v>158</v>
      </c>
      <c r="L95" s="23" t="s">
        <v>730</v>
      </c>
      <c r="M95" s="23" t="s">
        <v>421</v>
      </c>
      <c r="N95" s="23" t="s">
        <v>214</v>
      </c>
      <c r="O95" s="23" t="s">
        <v>422</v>
      </c>
      <c r="P95" s="23" t="s">
        <v>405</v>
      </c>
      <c r="Q95" s="23" t="s">
        <v>164</v>
      </c>
      <c r="R95" s="24">
        <v>2738</v>
      </c>
      <c r="S95" s="56">
        <f>Table2[[#This Row],[delivery_time_in_seconds]]/60</f>
        <v>45.633333333333333</v>
      </c>
      <c r="T95" s="23">
        <v>359</v>
      </c>
      <c r="U95" s="23">
        <v>359</v>
      </c>
      <c r="V95" s="23">
        <v>359</v>
      </c>
      <c r="W95" s="23">
        <v>400</v>
      </c>
      <c r="X95" s="23">
        <v>36</v>
      </c>
      <c r="Y95" s="23" t="s">
        <v>548</v>
      </c>
      <c r="Z95" s="23" t="str">
        <f>IF(Table2[[#This Row],[restaurant_customer_distance]]&lt;=2,"0-2 Km",IF(Table2[[#This Row],[restaurant_customer_distance]]&lt;=5,"2-5 Km",IF(Table2[[#This Row],[restaurant_customer_distance]]&lt;=8,"5-8 Km","8+Km")))</f>
        <v>2-5 Km</v>
      </c>
      <c r="AA95" s="23">
        <v>2.1</v>
      </c>
      <c r="AB95" s="23" t="s">
        <v>646</v>
      </c>
      <c r="AC95" s="23" t="s">
        <v>240</v>
      </c>
      <c r="AD95" s="23" t="b">
        <v>0</v>
      </c>
      <c r="AE95" s="23">
        <v>0</v>
      </c>
      <c r="AF95" s="25">
        <f t="shared" si="9"/>
        <v>45170</v>
      </c>
      <c r="AG95" s="26" t="str">
        <f>IFERROR(VLOOKUP(AC95,#REF!,2,0),AC95)</f>
        <v>HSR Layout</v>
      </c>
      <c r="AH95" s="27" t="str">
        <f t="shared" si="10"/>
        <v>Daily Sushi</v>
      </c>
      <c r="AI95" s="28" t="str">
        <f t="shared" si="11"/>
        <v>12.909368</v>
      </c>
      <c r="AJ95" s="29" t="str">
        <f t="shared" si="12"/>
        <v>77.638656</v>
      </c>
      <c r="AK95"/>
    </row>
    <row r="96" spans="1:37">
      <c r="A96" s="22">
        <v>176716772573</v>
      </c>
      <c r="B96" s="22" t="str">
        <f>_xlfn.XLOOKUP(Table2[[#This Row],[order_id]],swiggy_order_items!A96:A265,swiggy_order_items!B96:B265)</f>
        <v>Trapper Creek</v>
      </c>
      <c r="C96" s="22" t="str">
        <f>_xlfn.XLOOKUP(Table2[[#This Row],[name of the food]],swiggy_order_items!B96:B265,swiggy_order_items!E96:E265)</f>
        <v>Non_Veg</v>
      </c>
      <c r="D96" s="23" t="b">
        <v>1</v>
      </c>
      <c r="E96" s="23" t="s">
        <v>731</v>
      </c>
      <c r="F96" s="39">
        <f t="shared" si="8"/>
        <v>125</v>
      </c>
      <c r="G96" s="23" t="s">
        <v>732</v>
      </c>
      <c r="H96" s="23" t="s">
        <v>733</v>
      </c>
      <c r="I96" s="23" t="str">
        <f>Table2[[#This Row],[order_time]]</f>
        <v>2023-09-02 13:29:33</v>
      </c>
      <c r="J96" s="23" t="s">
        <v>157</v>
      </c>
      <c r="K96" s="23" t="s">
        <v>158</v>
      </c>
      <c r="L96" s="23" t="s">
        <v>734</v>
      </c>
      <c r="M96" s="23" t="s">
        <v>735</v>
      </c>
      <c r="N96" s="23" t="s">
        <v>555</v>
      </c>
      <c r="O96" s="23" t="s">
        <v>736</v>
      </c>
      <c r="P96" s="23" t="s">
        <v>737</v>
      </c>
      <c r="Q96" s="23" t="s">
        <v>164</v>
      </c>
      <c r="R96" s="24">
        <v>2483</v>
      </c>
      <c r="S96" s="56">
        <f>Table2[[#This Row],[delivery_time_in_seconds]]/60</f>
        <v>41.383333333333333</v>
      </c>
      <c r="T96" s="23">
        <v>356</v>
      </c>
      <c r="U96" s="23">
        <v>356</v>
      </c>
      <c r="V96" s="23">
        <v>356</v>
      </c>
      <c r="W96" s="23">
        <v>460</v>
      </c>
      <c r="X96" s="23">
        <v>34</v>
      </c>
      <c r="Y96" s="23" t="s">
        <v>738</v>
      </c>
      <c r="Z96" s="23" t="str">
        <f>IF(Table2[[#This Row],[restaurant_customer_distance]]&lt;=2,"0-2 Km",IF(Table2[[#This Row],[restaurant_customer_distance]]&lt;=5,"2-5 Km",IF(Table2[[#This Row],[restaurant_customer_distance]]&lt;=8,"5-8 Km","8+Km")))</f>
        <v>0-2 Km</v>
      </c>
      <c r="AA96" s="23">
        <v>1.5</v>
      </c>
      <c r="AB96" s="23" t="s">
        <v>646</v>
      </c>
      <c r="AC96" s="23" t="s">
        <v>737</v>
      </c>
      <c r="AD96" s="23" t="b">
        <v>1</v>
      </c>
      <c r="AE96" s="23">
        <v>0</v>
      </c>
      <c r="AF96" s="25">
        <f t="shared" si="9"/>
        <v>45170</v>
      </c>
      <c r="AG96" s="26" t="str">
        <f>IFERROR(VLOOKUP(AC96,#REF!,2,0),AC96)</f>
        <v>Indiranagar</v>
      </c>
      <c r="AH96" s="27" t="str">
        <f t="shared" si="10"/>
        <v>Burger Seigneur</v>
      </c>
      <c r="AI96" s="28" t="str">
        <f t="shared" si="11"/>
        <v>12.97107</v>
      </c>
      <c r="AJ96" s="29" t="str">
        <f t="shared" si="12"/>
        <v>77.647521</v>
      </c>
      <c r="AK96"/>
    </row>
    <row r="97" spans="1:37">
      <c r="A97" s="22">
        <v>176451044220</v>
      </c>
      <c r="B97" s="22" t="str">
        <f>_xlfn.XLOOKUP(Table2[[#This Row],[order_id]],swiggy_order_items!A97:A266,swiggy_order_items!B97:B266)</f>
        <v>Spaghetti Carbonara Chicken</v>
      </c>
      <c r="C97" s="22" t="str">
        <f>_xlfn.XLOOKUP(Table2[[#This Row],[name of the food]],swiggy_order_items!B97:B266,swiggy_order_items!E97:E266)</f>
        <v>Non_Veg</v>
      </c>
      <c r="D97" s="23" t="b">
        <v>0</v>
      </c>
      <c r="E97" s="23" t="s">
        <v>167</v>
      </c>
      <c r="F97" s="39" t="str">
        <f t="shared" si="8"/>
        <v>NO OFFER</v>
      </c>
      <c r="G97" s="23" t="s">
        <v>168</v>
      </c>
      <c r="H97" s="23" t="s">
        <v>739</v>
      </c>
      <c r="I97" s="23" t="str">
        <f>Table2[[#This Row],[order_time]]</f>
        <v>2023-08-30 11:40:45</v>
      </c>
      <c r="J97" s="23" t="s">
        <v>157</v>
      </c>
      <c r="K97" s="23" t="s">
        <v>158</v>
      </c>
      <c r="L97" s="23" t="s">
        <v>740</v>
      </c>
      <c r="M97" s="23" t="s">
        <v>741</v>
      </c>
      <c r="N97" s="23" t="s">
        <v>742</v>
      </c>
      <c r="O97" s="23" t="s">
        <v>743</v>
      </c>
      <c r="P97" s="23" t="s">
        <v>744</v>
      </c>
      <c r="Q97" s="23" t="s">
        <v>164</v>
      </c>
      <c r="R97" s="24">
        <v>1839</v>
      </c>
      <c r="S97" s="56">
        <f>Table2[[#This Row],[delivery_time_in_seconds]]/60</f>
        <v>30.65</v>
      </c>
      <c r="T97" s="23">
        <v>301</v>
      </c>
      <c r="U97" s="23">
        <v>301</v>
      </c>
      <c r="V97" s="23">
        <v>301</v>
      </c>
      <c r="W97" s="23">
        <v>261.90996999999999</v>
      </c>
      <c r="X97" s="23">
        <v>39</v>
      </c>
      <c r="Y97" s="23" t="s">
        <v>745</v>
      </c>
      <c r="Z97" s="23" t="str">
        <f>IF(Table2[[#This Row],[restaurant_customer_distance]]&lt;=2,"0-2 Km",IF(Table2[[#This Row],[restaurant_customer_distance]]&lt;=5,"2-5 Km",IF(Table2[[#This Row],[restaurant_customer_distance]]&lt;=8,"5-8 Km","8+Km")))</f>
        <v>2-5 Km</v>
      </c>
      <c r="AA97" s="23">
        <v>4.9000000000000004</v>
      </c>
      <c r="AB97" s="23" t="s">
        <v>646</v>
      </c>
      <c r="AC97" s="23" t="s">
        <v>331</v>
      </c>
      <c r="AD97" s="23" t="b">
        <v>0</v>
      </c>
      <c r="AE97" s="23">
        <v>0</v>
      </c>
      <c r="AF97" s="25">
        <f t="shared" si="9"/>
        <v>45139</v>
      </c>
      <c r="AG97" s="26" t="str">
        <f>IFERROR(VLOOKUP(AC97,#REF!,2,0),AC97)</f>
        <v>Bellandur</v>
      </c>
      <c r="AH97" s="27" t="str">
        <f t="shared" si="10"/>
        <v>Truffles</v>
      </c>
      <c r="AI97" s="28" t="str">
        <f t="shared" si="11"/>
        <v>12.927332</v>
      </c>
      <c r="AJ97" s="29" t="str">
        <f t="shared" si="12"/>
        <v>77.669014</v>
      </c>
      <c r="AK97"/>
    </row>
    <row r="98" spans="1:37">
      <c r="A98" s="22">
        <v>176221057630</v>
      </c>
      <c r="B98" s="22" t="str">
        <f>_xlfn.XLOOKUP(Table2[[#This Row],[order_id]],swiggy_order_items!A98:A267,swiggy_order_items!B98:B267)</f>
        <v>Istah's Chicken Shawarma in Rumali</v>
      </c>
      <c r="C98" s="22" t="str">
        <f>_xlfn.XLOOKUP(Table2[[#This Row],[name of the food]],swiggy_order_items!B98:B267,swiggy_order_items!E98:E267)</f>
        <v>Non_Veg</v>
      </c>
      <c r="D98" s="23" t="b">
        <v>0</v>
      </c>
      <c r="E98" s="23" t="s">
        <v>167</v>
      </c>
      <c r="F98" s="39" t="str">
        <f t="shared" ref="F98:F108" si="13">IFERROR(TRUNC((_xlfn.TEXTBEFORE(_xlfn.TEXTAFTER(G98,"""total_offer_discount"":"),",")),2),"NO OFFER")</f>
        <v>NO OFFER</v>
      </c>
      <c r="G98" s="23" t="s">
        <v>168</v>
      </c>
      <c r="H98" s="23" t="s">
        <v>746</v>
      </c>
      <c r="I98" s="23" t="str">
        <f>Table2[[#This Row],[order_time]]</f>
        <v>2023-08-27 19:47:38</v>
      </c>
      <c r="J98" s="23" t="s">
        <v>157</v>
      </c>
      <c r="K98" s="23" t="s">
        <v>158</v>
      </c>
      <c r="L98" s="23" t="s">
        <v>747</v>
      </c>
      <c r="M98" s="23" t="s">
        <v>748</v>
      </c>
      <c r="N98" s="23" t="s">
        <v>749</v>
      </c>
      <c r="O98" s="23" t="s">
        <v>750</v>
      </c>
      <c r="P98" s="23" t="s">
        <v>447</v>
      </c>
      <c r="Q98" s="23" t="s">
        <v>164</v>
      </c>
      <c r="R98" s="24">
        <v>2187</v>
      </c>
      <c r="S98" s="56">
        <f>Table2[[#This Row],[delivery_time_in_seconds]]/60</f>
        <v>36.450000000000003</v>
      </c>
      <c r="T98" s="23">
        <v>164</v>
      </c>
      <c r="U98" s="23">
        <v>164</v>
      </c>
      <c r="V98" s="23">
        <v>164</v>
      </c>
      <c r="W98" s="23">
        <v>199</v>
      </c>
      <c r="X98" s="23">
        <v>41</v>
      </c>
      <c r="Y98" s="23" t="s">
        <v>751</v>
      </c>
      <c r="Z98" s="23" t="str">
        <f>IF(Table2[[#This Row],[restaurant_customer_distance]]&lt;=2,"0-2 Km",IF(Table2[[#This Row],[restaurant_customer_distance]]&lt;=5,"2-5 Km",IF(Table2[[#This Row],[restaurant_customer_distance]]&lt;=8,"5-8 Km","8+Km")))</f>
        <v>2-5 Km</v>
      </c>
      <c r="AA98" s="23">
        <v>3.1</v>
      </c>
      <c r="AB98" s="23" t="s">
        <v>646</v>
      </c>
      <c r="AC98" s="23" t="s">
        <v>416</v>
      </c>
      <c r="AD98" s="23" t="b">
        <v>0</v>
      </c>
      <c r="AE98" s="23">
        <v>0</v>
      </c>
      <c r="AF98" s="25">
        <f t="shared" ref="AF98:AF108" si="14">EOMONTH(H98,-1)+1</f>
        <v>45139</v>
      </c>
      <c r="AG98" s="26" t="str">
        <f>IFERROR(VLOOKUP(AC98,#REF!,2,0),AC98)</f>
        <v>Koramangala</v>
      </c>
      <c r="AH98" s="27" t="str">
        <f t="shared" ref="AH98:AH108" si="15">IFERROR(TRIM(_xlfn.TEXTBEFORE(N98,"-")),N98)</f>
        <v>Istah</v>
      </c>
      <c r="AI98" s="28" t="str">
        <f t="shared" si="11"/>
        <v>12.925114189248388</v>
      </c>
      <c r="AJ98" s="29" t="str">
        <f t="shared" si="12"/>
        <v>77.6370633020997</v>
      </c>
      <c r="AK98"/>
    </row>
    <row r="99" spans="1:37">
      <c r="A99" s="22">
        <v>175968970700</v>
      </c>
      <c r="B99" s="22" t="str">
        <f>_xlfn.XLOOKUP(Table2[[#This Row],[order_id]],swiggy_order_items!A99:A268,swiggy_order_items!B99:B268)</f>
        <v>Belgian Chocolate Milk Shake</v>
      </c>
      <c r="C99" s="22" t="str">
        <f>_xlfn.XLOOKUP(Table2[[#This Row],[name of the food]],swiggy_order_items!B99:B268,swiggy_order_items!E99:E268)</f>
        <v>Veg</v>
      </c>
      <c r="D99" s="23" t="b">
        <v>1</v>
      </c>
      <c r="E99" s="23" t="s">
        <v>289</v>
      </c>
      <c r="F99" s="39">
        <f t="shared" si="13"/>
        <v>109.5</v>
      </c>
      <c r="G99" s="23" t="s">
        <v>752</v>
      </c>
      <c r="H99" s="23" t="s">
        <v>753</v>
      </c>
      <c r="I99" s="23" t="str">
        <f>Table2[[#This Row],[order_time]]</f>
        <v>2023-08-24 21:46:11</v>
      </c>
      <c r="J99" s="23" t="s">
        <v>157</v>
      </c>
      <c r="K99" s="23" t="s">
        <v>321</v>
      </c>
      <c r="L99" s="23" t="s">
        <v>754</v>
      </c>
      <c r="M99" s="23" t="s">
        <v>755</v>
      </c>
      <c r="N99" s="23" t="s">
        <v>756</v>
      </c>
      <c r="O99" s="23" t="s">
        <v>757</v>
      </c>
      <c r="P99" s="23" t="s">
        <v>216</v>
      </c>
      <c r="Q99" s="23" t="s">
        <v>164</v>
      </c>
      <c r="R99" s="24">
        <v>0</v>
      </c>
      <c r="S99" s="56">
        <f>Table2[[#This Row],[delivery_time_in_seconds]]/60</f>
        <v>0</v>
      </c>
      <c r="T99" s="23">
        <v>369</v>
      </c>
      <c r="U99" s="23">
        <v>369</v>
      </c>
      <c r="V99" s="23">
        <v>369</v>
      </c>
      <c r="W99" s="23">
        <v>438</v>
      </c>
      <c r="X99" s="23">
        <v>55</v>
      </c>
      <c r="Y99" s="23" t="s">
        <v>758</v>
      </c>
      <c r="Z99" s="23" t="str">
        <f>IF(Table2[[#This Row],[restaurant_customer_distance]]&lt;=2,"0-2 Km",IF(Table2[[#This Row],[restaurant_customer_distance]]&lt;=5,"2-5 Km",IF(Table2[[#This Row],[restaurant_customer_distance]]&lt;=8,"5-8 Km","8+Km")))</f>
        <v>5-8 Km</v>
      </c>
      <c r="AA99" s="23">
        <v>5.4</v>
      </c>
      <c r="AB99" s="23" t="s">
        <v>646</v>
      </c>
      <c r="AC99" s="23" t="s">
        <v>416</v>
      </c>
      <c r="AD99" s="23" t="b">
        <v>0</v>
      </c>
      <c r="AE99" s="23">
        <v>0</v>
      </c>
      <c r="AF99" s="25">
        <f t="shared" si="14"/>
        <v>45139</v>
      </c>
      <c r="AG99" s="26" t="str">
        <f>IFERROR(VLOOKUP(AC99,#REF!,2,0),AC99)</f>
        <v>Koramangala</v>
      </c>
      <c r="AH99" s="27" t="str">
        <f t="shared" si="15"/>
        <v>The Thick Shake Factory</v>
      </c>
      <c r="AI99" s="28" t="str">
        <f t="shared" si="11"/>
        <v>12.935401</v>
      </c>
      <c r="AJ99" s="29" t="str">
        <f t="shared" si="12"/>
        <v>77.620598</v>
      </c>
      <c r="AK99"/>
    </row>
    <row r="100" spans="1:37">
      <c r="A100" s="22">
        <v>175192473312</v>
      </c>
      <c r="B100" s="22" t="str">
        <f>_xlfn.XLOOKUP(Table2[[#This Row],[order_id]],swiggy_order_items!A100:A269,swiggy_order_items!B100:B269)</f>
        <v>Panoor Special Chicken Leg Fry</v>
      </c>
      <c r="C100" s="22" t="str">
        <f>_xlfn.XLOOKUP(Table2[[#This Row],[name of the food]],swiggy_order_items!B100:B269,swiggy_order_items!E100:E269)</f>
        <v>Non_Veg</v>
      </c>
      <c r="D100" s="23" t="b">
        <v>0</v>
      </c>
      <c r="E100" s="23" t="s">
        <v>167</v>
      </c>
      <c r="F100" s="39" t="str">
        <f t="shared" si="13"/>
        <v>NO OFFER</v>
      </c>
      <c r="G100" s="23" t="s">
        <v>168</v>
      </c>
      <c r="H100" s="23" t="s">
        <v>759</v>
      </c>
      <c r="I100" s="23" t="str">
        <f>Table2[[#This Row],[order_time]]</f>
        <v>2023-08-15 22:04:33</v>
      </c>
      <c r="J100" s="23" t="s">
        <v>157</v>
      </c>
      <c r="K100" s="23" t="s">
        <v>158</v>
      </c>
      <c r="L100" s="23" t="s">
        <v>760</v>
      </c>
      <c r="M100" s="23" t="s">
        <v>761</v>
      </c>
      <c r="N100" s="23" t="s">
        <v>762</v>
      </c>
      <c r="O100" s="23" t="s">
        <v>763</v>
      </c>
      <c r="P100" s="23" t="s">
        <v>764</v>
      </c>
      <c r="Q100" s="23" t="s">
        <v>164</v>
      </c>
      <c r="R100" s="24">
        <v>1654</v>
      </c>
      <c r="S100" s="56">
        <f>Table2[[#This Row],[delivery_time_in_seconds]]/60</f>
        <v>27.566666666666666</v>
      </c>
      <c r="T100" s="23">
        <v>504</v>
      </c>
      <c r="U100" s="23">
        <v>504</v>
      </c>
      <c r="V100" s="23">
        <v>504</v>
      </c>
      <c r="W100" s="23">
        <v>465</v>
      </c>
      <c r="X100" s="23">
        <v>54</v>
      </c>
      <c r="Y100" s="23" t="s">
        <v>765</v>
      </c>
      <c r="Z100" s="23" t="str">
        <f>IF(Table2[[#This Row],[restaurant_customer_distance]]&lt;=2,"0-2 Km",IF(Table2[[#This Row],[restaurant_customer_distance]]&lt;=5,"2-5 Km",IF(Table2[[#This Row],[restaurant_customer_distance]]&lt;=8,"5-8 Km","8+Km")))</f>
        <v>2-5 Km</v>
      </c>
      <c r="AA100" s="23">
        <v>5</v>
      </c>
      <c r="AB100" s="23" t="s">
        <v>646</v>
      </c>
      <c r="AC100" s="23" t="s">
        <v>331</v>
      </c>
      <c r="AD100" s="23" t="b">
        <v>0</v>
      </c>
      <c r="AE100" s="23">
        <v>0</v>
      </c>
      <c r="AF100" s="25">
        <f t="shared" si="14"/>
        <v>45139</v>
      </c>
      <c r="AG100" s="26" t="str">
        <f>IFERROR(VLOOKUP(AC100,#REF!,2,0),AC100)</f>
        <v>Bellandur</v>
      </c>
      <c r="AH100" s="27" t="str">
        <f t="shared" si="15"/>
        <v>Kerala Panoor Restaurant</v>
      </c>
      <c r="AI100" s="28" t="str">
        <f t="shared" si="11"/>
        <v>12.930556</v>
      </c>
      <c r="AJ100" s="29" t="str">
        <f t="shared" si="12"/>
        <v>77.68499199999997</v>
      </c>
      <c r="AK100"/>
    </row>
    <row r="101" spans="1:37">
      <c r="A101" s="22">
        <v>174983850554</v>
      </c>
      <c r="B101" s="22" t="str">
        <f>_xlfn.XLOOKUP(Table2[[#This Row],[order_id]],swiggy_order_items!A101:A270,swiggy_order_items!B101:B270)</f>
        <v>Roasted Garlic Chicken Soup</v>
      </c>
      <c r="C101" s="22" t="str">
        <f>_xlfn.XLOOKUP(Table2[[#This Row],[name of the food]],swiggy_order_items!B101:B270,swiggy_order_items!E101:E270)</f>
        <v>Non_Veg</v>
      </c>
      <c r="D101" s="23" t="b">
        <v>0</v>
      </c>
      <c r="E101" s="23" t="s">
        <v>167</v>
      </c>
      <c r="F101" s="39" t="str">
        <f t="shared" si="13"/>
        <v>NO OFFER</v>
      </c>
      <c r="G101" s="23" t="s">
        <v>168</v>
      </c>
      <c r="H101" s="23" t="s">
        <v>766</v>
      </c>
      <c r="I101" s="23" t="str">
        <f>Table2[[#This Row],[order_time]]</f>
        <v>2023-08-13 12:07:31</v>
      </c>
      <c r="J101" s="23" t="s">
        <v>157</v>
      </c>
      <c r="K101" s="23" t="s">
        <v>158</v>
      </c>
      <c r="L101" s="23" t="s">
        <v>767</v>
      </c>
      <c r="M101" s="23" t="s">
        <v>768</v>
      </c>
      <c r="N101" s="23" t="s">
        <v>769</v>
      </c>
      <c r="O101" s="23" t="s">
        <v>404</v>
      </c>
      <c r="P101" s="23" t="s">
        <v>405</v>
      </c>
      <c r="Q101" s="23" t="s">
        <v>164</v>
      </c>
      <c r="R101" s="24">
        <v>1728</v>
      </c>
      <c r="S101" s="56">
        <f>Table2[[#This Row],[delivery_time_in_seconds]]/60</f>
        <v>28.8</v>
      </c>
      <c r="T101" s="23">
        <v>477</v>
      </c>
      <c r="U101" s="23">
        <v>477</v>
      </c>
      <c r="V101" s="23">
        <v>477</v>
      </c>
      <c r="W101" s="23">
        <v>763</v>
      </c>
      <c r="X101" s="23">
        <v>25</v>
      </c>
      <c r="Y101" s="23" t="s">
        <v>406</v>
      </c>
      <c r="Z101" s="23" t="str">
        <f>IF(Table2[[#This Row],[restaurant_customer_distance]]&lt;=2,"0-2 Km",IF(Table2[[#This Row],[restaurant_customer_distance]]&lt;=5,"2-5 Km",IF(Table2[[#This Row],[restaurant_customer_distance]]&lt;=8,"5-8 Km","8+Km")))</f>
        <v>0-2 Km</v>
      </c>
      <c r="AA101" s="23">
        <v>1.8</v>
      </c>
      <c r="AB101" s="23" t="s">
        <v>646</v>
      </c>
      <c r="AC101" s="23" t="s">
        <v>240</v>
      </c>
      <c r="AD101" s="23" t="b">
        <v>0</v>
      </c>
      <c r="AE101" s="23">
        <v>0</v>
      </c>
      <c r="AF101" s="25">
        <f t="shared" si="14"/>
        <v>45139</v>
      </c>
      <c r="AG101" s="26" t="str">
        <f>IFERROR(VLOOKUP(AC101,#REF!,2,0),AC101)</f>
        <v>HSR Layout</v>
      </c>
      <c r="AH101" s="27" t="str">
        <f t="shared" si="15"/>
        <v>FreshMenu</v>
      </c>
      <c r="AI101" s="28" t="str">
        <f t="shared" si="11"/>
        <v>12.9054065</v>
      </c>
      <c r="AJ101" s="29" t="str">
        <f t="shared" si="12"/>
        <v>77.64410799999996</v>
      </c>
      <c r="AK101"/>
    </row>
    <row r="102" spans="1:37">
      <c r="A102" s="22">
        <v>174647551706</v>
      </c>
      <c r="B102" s="22" t="str">
        <f>_xlfn.XLOOKUP(Table2[[#This Row],[order_id]],swiggy_order_items!A102:A271,swiggy_order_items!B102:B271)</f>
        <v>Belgian Chocolate Thick Shake</v>
      </c>
      <c r="C102" s="22" t="str">
        <f>_xlfn.XLOOKUP(Table2[[#This Row],[name of the food]],swiggy_order_items!B102:B271,swiggy_order_items!E102:E271)</f>
        <v>Veg</v>
      </c>
      <c r="D102" s="23" t="b">
        <v>1</v>
      </c>
      <c r="E102" s="23" t="s">
        <v>289</v>
      </c>
      <c r="F102" s="39">
        <f t="shared" si="13"/>
        <v>119.49</v>
      </c>
      <c r="G102" s="23" t="s">
        <v>770</v>
      </c>
      <c r="H102" s="23" t="s">
        <v>771</v>
      </c>
      <c r="I102" s="23" t="str">
        <f>Table2[[#This Row],[order_time]]</f>
        <v>2023-08-09 14:42:32</v>
      </c>
      <c r="J102" s="23" t="s">
        <v>157</v>
      </c>
      <c r="K102" s="23" t="s">
        <v>158</v>
      </c>
      <c r="L102" s="23" t="s">
        <v>772</v>
      </c>
      <c r="M102" s="23" t="s">
        <v>773</v>
      </c>
      <c r="N102" s="23" t="s">
        <v>756</v>
      </c>
      <c r="O102" s="23" t="s">
        <v>774</v>
      </c>
      <c r="P102" s="23" t="s">
        <v>775</v>
      </c>
      <c r="Q102" s="23" t="s">
        <v>164</v>
      </c>
      <c r="R102" s="24">
        <v>1269</v>
      </c>
      <c r="S102" s="56">
        <f>Table2[[#This Row],[delivery_time_in_seconds]]/60</f>
        <v>21.15</v>
      </c>
      <c r="T102" s="23">
        <v>401</v>
      </c>
      <c r="U102" s="23">
        <v>401</v>
      </c>
      <c r="V102" s="23">
        <v>401</v>
      </c>
      <c r="W102" s="23">
        <v>478</v>
      </c>
      <c r="X102" s="23">
        <v>25</v>
      </c>
      <c r="Y102" s="23" t="s">
        <v>776</v>
      </c>
      <c r="Z102" s="23" t="str">
        <f>IF(Table2[[#This Row],[restaurant_customer_distance]]&lt;=2,"0-2 Km",IF(Table2[[#This Row],[restaurant_customer_distance]]&lt;=5,"2-5 Km",IF(Table2[[#This Row],[restaurant_customer_distance]]&lt;=8,"5-8 Km","8+Km")))</f>
        <v>0-2 Km</v>
      </c>
      <c r="AA102" s="23">
        <v>1.7</v>
      </c>
      <c r="AB102" s="23" t="s">
        <v>646</v>
      </c>
      <c r="AC102" s="23" t="s">
        <v>240</v>
      </c>
      <c r="AD102" s="23" t="b">
        <v>0</v>
      </c>
      <c r="AE102" s="23">
        <v>0</v>
      </c>
      <c r="AF102" s="25">
        <f t="shared" si="14"/>
        <v>45139</v>
      </c>
      <c r="AG102" s="26" t="str">
        <f>IFERROR(VLOOKUP(AC102,#REF!,2,0),AC102)</f>
        <v>HSR Layout</v>
      </c>
      <c r="AH102" s="27" t="str">
        <f t="shared" si="15"/>
        <v>The Thick Shake Factory</v>
      </c>
      <c r="AI102" s="28" t="str">
        <f t="shared" si="11"/>
        <v>12.9125116379822</v>
      </c>
      <c r="AJ102" s="29" t="str">
        <f t="shared" si="12"/>
        <v>77.63817068570162</v>
      </c>
      <c r="AK102"/>
    </row>
    <row r="103" spans="1:37">
      <c r="A103" s="22">
        <v>174644435956</v>
      </c>
      <c r="B103" s="22" t="str">
        <f>_xlfn.XLOOKUP(Table2[[#This Row],[order_id]],swiggy_order_items!A103:A272,swiggy_order_items!B103:B272)</f>
        <v>Trapper Creek</v>
      </c>
      <c r="C103" s="22" t="str">
        <f>_xlfn.XLOOKUP(Table2[[#This Row],[name of the food]],swiggy_order_items!B103:B272,swiggy_order_items!E103:E272)</f>
        <v>Non_Veg</v>
      </c>
      <c r="D103" s="23" t="b">
        <v>0</v>
      </c>
      <c r="E103" s="23" t="s">
        <v>167</v>
      </c>
      <c r="F103" s="39" t="str">
        <f t="shared" si="13"/>
        <v>NO OFFER</v>
      </c>
      <c r="G103" s="23" t="s">
        <v>168</v>
      </c>
      <c r="H103" s="23" t="s">
        <v>777</v>
      </c>
      <c r="I103" s="23" t="str">
        <f>Table2[[#This Row],[order_time]]</f>
        <v>2023-08-09 13:50:36</v>
      </c>
      <c r="J103" s="23" t="s">
        <v>157</v>
      </c>
      <c r="K103" s="23" t="s">
        <v>158</v>
      </c>
      <c r="L103" s="23" t="s">
        <v>687</v>
      </c>
      <c r="M103" s="23" t="s">
        <v>554</v>
      </c>
      <c r="N103" s="23" t="s">
        <v>555</v>
      </c>
      <c r="O103" s="23" t="s">
        <v>556</v>
      </c>
      <c r="P103" s="23" t="s">
        <v>557</v>
      </c>
      <c r="Q103" s="23" t="s">
        <v>164</v>
      </c>
      <c r="R103" s="24">
        <v>3238</v>
      </c>
      <c r="S103" s="56">
        <f>Table2[[#This Row],[delivery_time_in_seconds]]/60</f>
        <v>53.966666666666669</v>
      </c>
      <c r="T103" s="23">
        <v>516</v>
      </c>
      <c r="U103" s="23">
        <v>516</v>
      </c>
      <c r="V103" s="23">
        <v>516</v>
      </c>
      <c r="W103" s="23">
        <v>490</v>
      </c>
      <c r="X103" s="23">
        <v>25</v>
      </c>
      <c r="Y103" s="23" t="s">
        <v>778</v>
      </c>
      <c r="Z103" s="23" t="str">
        <f>IF(Table2[[#This Row],[restaurant_customer_distance]]&lt;=2,"0-2 Km",IF(Table2[[#This Row],[restaurant_customer_distance]]&lt;=5,"2-5 Km",IF(Table2[[#This Row],[restaurant_customer_distance]]&lt;=8,"5-8 Km","8+Km")))</f>
        <v>2-5 Km</v>
      </c>
      <c r="AA103" s="23">
        <v>2.8</v>
      </c>
      <c r="AB103" s="23" t="s">
        <v>646</v>
      </c>
      <c r="AC103" s="23" t="s">
        <v>559</v>
      </c>
      <c r="AD103" s="23" t="b">
        <v>0</v>
      </c>
      <c r="AE103" s="23">
        <v>0</v>
      </c>
      <c r="AF103" s="25">
        <f t="shared" si="14"/>
        <v>45139</v>
      </c>
      <c r="AG103" s="26" t="str">
        <f>IFERROR(VLOOKUP(AC103,#REF!,2,0),AC103)</f>
        <v>ITI layout, Hosapalya</v>
      </c>
      <c r="AH103" s="27" t="str">
        <f t="shared" si="15"/>
        <v>Burger Seigneur</v>
      </c>
      <c r="AI103" s="28" t="str">
        <f t="shared" si="11"/>
        <v>12.9000771</v>
      </c>
      <c r="AJ103" s="29" t="str">
        <f t="shared" si="12"/>
        <v>77.640061</v>
      </c>
      <c r="AK103"/>
    </row>
    <row r="104" spans="1:37">
      <c r="A104" s="22">
        <v>174559415025</v>
      </c>
      <c r="B104" s="22" t="str">
        <f>_xlfn.XLOOKUP(Table2[[#This Row],[order_id]],swiggy_order_items!A104:A273,swiggy_order_items!B104:B273)</f>
        <v>Americano Pasta Non-veg</v>
      </c>
      <c r="C104" s="22" t="str">
        <f>_xlfn.XLOOKUP(Table2[[#This Row],[name of the food]],swiggy_order_items!B104:B273,swiggy_order_items!E104:E273)</f>
        <v>Non_Veg</v>
      </c>
      <c r="D104" s="23" t="b">
        <v>1</v>
      </c>
      <c r="E104" s="23" t="s">
        <v>252</v>
      </c>
      <c r="F104" s="39">
        <f t="shared" si="13"/>
        <v>100</v>
      </c>
      <c r="G104" s="23" t="s">
        <v>779</v>
      </c>
      <c r="H104" s="23" t="s">
        <v>780</v>
      </c>
      <c r="I104" s="23" t="str">
        <f>Table2[[#This Row],[order_time]]</f>
        <v>2023-08-08 14:13:36</v>
      </c>
      <c r="J104" s="23" t="s">
        <v>157</v>
      </c>
      <c r="K104" s="23" t="s">
        <v>158</v>
      </c>
      <c r="L104" s="23" t="s">
        <v>781</v>
      </c>
      <c r="M104" s="23" t="s">
        <v>782</v>
      </c>
      <c r="N104" s="23" t="s">
        <v>783</v>
      </c>
      <c r="O104" s="23" t="s">
        <v>784</v>
      </c>
      <c r="P104" s="23" t="s">
        <v>785</v>
      </c>
      <c r="Q104" s="23" t="s">
        <v>164</v>
      </c>
      <c r="R104" s="24">
        <v>1585</v>
      </c>
      <c r="S104" s="56">
        <f>Table2[[#This Row],[delivery_time_in_seconds]]/60</f>
        <v>26.416666666666668</v>
      </c>
      <c r="T104" s="23">
        <v>171</v>
      </c>
      <c r="U104" s="23">
        <v>171</v>
      </c>
      <c r="V104" s="23">
        <v>171</v>
      </c>
      <c r="W104" s="23">
        <v>225</v>
      </c>
      <c r="X104" s="23">
        <v>25</v>
      </c>
      <c r="Y104" s="23" t="s">
        <v>786</v>
      </c>
      <c r="Z104" s="23" t="str">
        <f>IF(Table2[[#This Row],[restaurant_customer_distance]]&lt;=2,"0-2 Km",IF(Table2[[#This Row],[restaurant_customer_distance]]&lt;=5,"2-5 Km",IF(Table2[[#This Row],[restaurant_customer_distance]]&lt;=8,"5-8 Km","8+Km")))</f>
        <v>2-5 Km</v>
      </c>
      <c r="AA104" s="23">
        <v>2.8</v>
      </c>
      <c r="AB104" s="23" t="s">
        <v>646</v>
      </c>
      <c r="AC104" s="23" t="s">
        <v>331</v>
      </c>
      <c r="AD104" s="23" t="b">
        <v>0</v>
      </c>
      <c r="AE104" s="23">
        <v>0</v>
      </c>
      <c r="AF104" s="25">
        <f t="shared" si="14"/>
        <v>45139</v>
      </c>
      <c r="AG104" s="26" t="str">
        <f>IFERROR(VLOOKUP(AC104,#REF!,2,0),AC104)</f>
        <v>Bellandur</v>
      </c>
      <c r="AH104" s="27" t="str">
        <f t="shared" si="15"/>
        <v>La Pino'z Pizza</v>
      </c>
      <c r="AI104" s="28" t="str">
        <f t="shared" si="11"/>
        <v>12.919644</v>
      </c>
      <c r="AJ104" s="29" t="str">
        <f t="shared" si="12"/>
        <v>77.667114</v>
      </c>
      <c r="AK104"/>
    </row>
    <row r="105" spans="1:37">
      <c r="A105" s="22">
        <v>174376605060</v>
      </c>
      <c r="B105" s="22" t="str">
        <f>_xlfn.XLOOKUP(Table2[[#This Row],[order_id]],swiggy_order_items!A105:A274,swiggy_order_items!B105:B274)</f>
        <v>Non Veg Club S/w</v>
      </c>
      <c r="C105" s="22" t="str">
        <f>_xlfn.XLOOKUP(Table2[[#This Row],[name of the food]],swiggy_order_items!B105:B274,swiggy_order_items!E105:E274)</f>
        <v>Non_Veg</v>
      </c>
      <c r="D105" s="23" t="b">
        <v>0</v>
      </c>
      <c r="E105" s="23" t="s">
        <v>167</v>
      </c>
      <c r="F105" s="39" t="str">
        <f t="shared" si="13"/>
        <v>NO OFFER</v>
      </c>
      <c r="G105" s="23" t="s">
        <v>168</v>
      </c>
      <c r="H105" s="23" t="s">
        <v>787</v>
      </c>
      <c r="I105" s="23" t="str">
        <f>Table2[[#This Row],[order_time]]</f>
        <v>2023-08-06 11:26:46</v>
      </c>
      <c r="J105" s="23" t="s">
        <v>157</v>
      </c>
      <c r="K105" s="23" t="s">
        <v>158</v>
      </c>
      <c r="L105" s="23" t="s">
        <v>788</v>
      </c>
      <c r="M105" s="23" t="s">
        <v>741</v>
      </c>
      <c r="N105" s="23" t="s">
        <v>742</v>
      </c>
      <c r="O105" s="23" t="s">
        <v>743</v>
      </c>
      <c r="P105" s="23" t="s">
        <v>744</v>
      </c>
      <c r="Q105" s="23" t="s">
        <v>164</v>
      </c>
      <c r="R105" s="24">
        <v>1720</v>
      </c>
      <c r="S105" s="56">
        <f>Table2[[#This Row],[delivery_time_in_seconds]]/60</f>
        <v>28.666666666666668</v>
      </c>
      <c r="T105" s="23">
        <v>645</v>
      </c>
      <c r="U105" s="23">
        <v>645</v>
      </c>
      <c r="V105" s="23">
        <v>645</v>
      </c>
      <c r="W105" s="23">
        <v>523.83996999999999</v>
      </c>
      <c r="X105" s="23">
        <v>35</v>
      </c>
      <c r="Y105" s="23" t="s">
        <v>789</v>
      </c>
      <c r="Z105" s="23" t="str">
        <f>IF(Table2[[#This Row],[restaurant_customer_distance]]&lt;=2,"0-2 Km",IF(Table2[[#This Row],[restaurant_customer_distance]]&lt;=5,"2-5 Km",IF(Table2[[#This Row],[restaurant_customer_distance]]&lt;=8,"5-8 Km","8+Km")))</f>
        <v>2-5 Km</v>
      </c>
      <c r="AA105" s="23">
        <v>4.0999999999999996</v>
      </c>
      <c r="AB105" s="23" t="s">
        <v>646</v>
      </c>
      <c r="AC105" s="23" t="s">
        <v>331</v>
      </c>
      <c r="AD105" s="23" t="b">
        <v>1</v>
      </c>
      <c r="AE105" s="23">
        <v>0</v>
      </c>
      <c r="AF105" s="25">
        <f t="shared" si="14"/>
        <v>45139</v>
      </c>
      <c r="AG105" s="26" t="str">
        <f>IFERROR(VLOOKUP(AC105,#REF!,2,0),AC105)</f>
        <v>Bellandur</v>
      </c>
      <c r="AH105" s="27" t="str">
        <f t="shared" si="15"/>
        <v>Truffles</v>
      </c>
      <c r="AI105" s="28" t="str">
        <f t="shared" si="11"/>
        <v>12.927332</v>
      </c>
      <c r="AJ105" s="29" t="str">
        <f t="shared" si="12"/>
        <v>77.66901400000006</v>
      </c>
      <c r="AK105"/>
    </row>
    <row r="106" spans="1:37">
      <c r="A106" s="22">
        <v>172557699296</v>
      </c>
      <c r="B106" s="22" t="str">
        <f>_xlfn.XLOOKUP(Table2[[#This Row],[order_id]],swiggy_order_items!A106:A275,swiggy_order_items!B106:B275)</f>
        <v xml:space="preserve">Open Butter Masala Dosa </v>
      </c>
      <c r="C106" s="22" t="str">
        <f>_xlfn.XLOOKUP(Table2[[#This Row],[name of the food]],swiggy_order_items!B106:B275,swiggy_order_items!E106:E275)</f>
        <v>Veg</v>
      </c>
      <c r="D106" s="23" t="b">
        <v>0</v>
      </c>
      <c r="E106" s="23" t="s">
        <v>167</v>
      </c>
      <c r="F106" s="39" t="str">
        <f t="shared" si="13"/>
        <v>NO OFFER</v>
      </c>
      <c r="G106" s="23" t="s">
        <v>168</v>
      </c>
      <c r="H106" s="23" t="s">
        <v>790</v>
      </c>
      <c r="I106" s="23" t="str">
        <f>Table2[[#This Row],[order_time]]</f>
        <v>2023-07-16 10:11:39</v>
      </c>
      <c r="J106" s="23" t="s">
        <v>157</v>
      </c>
      <c r="K106" s="23" t="s">
        <v>158</v>
      </c>
      <c r="L106" s="23" t="s">
        <v>791</v>
      </c>
      <c r="M106" s="23" t="s">
        <v>792</v>
      </c>
      <c r="N106" s="23" t="s">
        <v>793</v>
      </c>
      <c r="O106" s="23" t="s">
        <v>794</v>
      </c>
      <c r="P106" s="23" t="s">
        <v>795</v>
      </c>
      <c r="Q106" s="23" t="s">
        <v>164</v>
      </c>
      <c r="R106" s="24">
        <v>2004</v>
      </c>
      <c r="S106" s="56">
        <f>Table2[[#This Row],[delivery_time_in_seconds]]/60</f>
        <v>33.4</v>
      </c>
      <c r="T106" s="23">
        <v>186</v>
      </c>
      <c r="U106" s="23">
        <v>186</v>
      </c>
      <c r="V106" s="23">
        <v>186</v>
      </c>
      <c r="W106" s="23">
        <v>159</v>
      </c>
      <c r="X106" s="23">
        <v>45</v>
      </c>
      <c r="Y106" s="23" t="s">
        <v>796</v>
      </c>
      <c r="Z106" s="23" t="str">
        <f>IF(Table2[[#This Row],[restaurant_customer_distance]]&lt;=2,"0-2 Km",IF(Table2[[#This Row],[restaurant_customer_distance]]&lt;=5,"2-5 Km",IF(Table2[[#This Row],[restaurant_customer_distance]]&lt;=8,"5-8 Km","8+Km")))</f>
        <v>5-8 Km</v>
      </c>
      <c r="AA106" s="23">
        <v>5.8</v>
      </c>
      <c r="AB106" s="23" t="s">
        <v>646</v>
      </c>
      <c r="AC106" s="23" t="s">
        <v>416</v>
      </c>
      <c r="AD106" s="23" t="b">
        <v>0</v>
      </c>
      <c r="AE106" s="23">
        <v>0</v>
      </c>
      <c r="AF106" s="25">
        <f t="shared" si="14"/>
        <v>45108</v>
      </c>
      <c r="AG106" s="26" t="str">
        <f>IFERROR(VLOOKUP(AC106,#REF!,2,0),AC106)</f>
        <v>Koramangala</v>
      </c>
      <c r="AH106" s="27" t="str">
        <f t="shared" si="15"/>
        <v>Cafe Amudham</v>
      </c>
      <c r="AI106" s="28" t="str">
        <f t="shared" si="11"/>
        <v>12.933842204939534</v>
      </c>
      <c r="AJ106" s="29" t="str">
        <f t="shared" si="12"/>
        <v>77.61976898008312</v>
      </c>
      <c r="AK106"/>
    </row>
    <row r="107" spans="1:37">
      <c r="A107" s="22">
        <v>171953923401</v>
      </c>
      <c r="B107" s="22" t="str">
        <f>_xlfn.XLOOKUP(Table2[[#This Row],[order_id]],swiggy_order_items!A107:A276,swiggy_order_items!B107:B276)</f>
        <v>Dark Chocolate Cake [350 Grams, Serves 3]</v>
      </c>
      <c r="C107" s="22" t="str">
        <f>_xlfn.XLOOKUP(Table2[[#This Row],[name of the food]],swiggy_order_items!B107:B276,swiggy_order_items!E107:E276)</f>
        <v>Non_Veg</v>
      </c>
      <c r="D107" s="23" t="b">
        <v>0</v>
      </c>
      <c r="E107" s="23" t="s">
        <v>167</v>
      </c>
      <c r="F107" s="39" t="str">
        <f t="shared" si="13"/>
        <v>NO OFFER</v>
      </c>
      <c r="G107" s="23" t="s">
        <v>168</v>
      </c>
      <c r="H107" s="23" t="s">
        <v>797</v>
      </c>
      <c r="I107" s="23" t="str">
        <f>Table2[[#This Row],[order_time]]</f>
        <v>2023-07-09 10:28:44</v>
      </c>
      <c r="J107" s="23" t="s">
        <v>157</v>
      </c>
      <c r="K107" s="23" t="s">
        <v>158</v>
      </c>
      <c r="L107" s="23" t="s">
        <v>798</v>
      </c>
      <c r="M107" s="23" t="s">
        <v>799</v>
      </c>
      <c r="N107" s="23" t="s">
        <v>800</v>
      </c>
      <c r="O107" s="23" t="s">
        <v>801</v>
      </c>
      <c r="P107" s="23" t="s">
        <v>802</v>
      </c>
      <c r="Q107" s="23" t="s">
        <v>164</v>
      </c>
      <c r="R107" s="24">
        <v>2648</v>
      </c>
      <c r="S107" s="56">
        <f>Table2[[#This Row],[delivery_time_in_seconds]]/60</f>
        <v>44.133333333333333</v>
      </c>
      <c r="T107" s="23">
        <v>1136</v>
      </c>
      <c r="U107" s="23">
        <v>1136</v>
      </c>
      <c r="V107" s="23">
        <v>1136</v>
      </c>
      <c r="W107" s="23">
        <v>1050</v>
      </c>
      <c r="X107" s="23">
        <v>29</v>
      </c>
      <c r="Y107" s="23" t="s">
        <v>803</v>
      </c>
      <c r="Z107" s="23" t="str">
        <f>IF(Table2[[#This Row],[restaurant_customer_distance]]&lt;=2,"0-2 Km",IF(Table2[[#This Row],[restaurant_customer_distance]]&lt;=5,"2-5 Km",IF(Table2[[#This Row],[restaurant_customer_distance]]&lt;=8,"5-8 Km","8+Km")))</f>
        <v>0-2 Km</v>
      </c>
      <c r="AA107" s="23">
        <v>1.7</v>
      </c>
      <c r="AB107" s="23" t="s">
        <v>646</v>
      </c>
      <c r="AC107" s="23" t="s">
        <v>240</v>
      </c>
      <c r="AD107" s="23" t="b">
        <v>0</v>
      </c>
      <c r="AE107" s="23">
        <v>0</v>
      </c>
      <c r="AF107" s="25">
        <f t="shared" si="14"/>
        <v>45108</v>
      </c>
      <c r="AG107" s="26" t="str">
        <f>IFERROR(VLOOKUP(AC107,#REF!,2,0),AC107)</f>
        <v>HSR Layout</v>
      </c>
      <c r="AH107" s="27" t="str">
        <f t="shared" si="15"/>
        <v>Table for Tous</v>
      </c>
      <c r="AI107" s="28" t="str">
        <f t="shared" si="11"/>
        <v>12.916462690900852</v>
      </c>
      <c r="AJ107" s="29" t="str">
        <f t="shared" si="12"/>
        <v>77.63573539639873</v>
      </c>
      <c r="AK107"/>
    </row>
    <row r="108" spans="1:37">
      <c r="A108" s="22">
        <v>171863054117</v>
      </c>
      <c r="B108" s="22" t="str">
        <f>_xlfn.XLOOKUP(Table2[[#This Row],[order_id]],swiggy_order_items!A108:A277,swiggy_order_items!B108:B277)</f>
        <v xml:space="preserve">Open Butter Masala Dosa </v>
      </c>
      <c r="C108" s="22" t="str">
        <f>_xlfn.XLOOKUP(Table2[[#This Row],[name of the food]],swiggy_order_items!B108:B277,swiggy_order_items!E108:E277)</f>
        <v>Veg</v>
      </c>
      <c r="D108" s="23" t="b">
        <v>1</v>
      </c>
      <c r="E108" s="23" t="s">
        <v>252</v>
      </c>
      <c r="F108" s="39">
        <f t="shared" si="13"/>
        <v>35.799999999999997</v>
      </c>
      <c r="G108" s="23" t="s">
        <v>804</v>
      </c>
      <c r="H108" s="23" t="s">
        <v>805</v>
      </c>
      <c r="I108" s="23" t="str">
        <f>Table2[[#This Row],[order_time]]</f>
        <v>2023-07-08 09:14:15</v>
      </c>
      <c r="J108" s="23" t="s">
        <v>157</v>
      </c>
      <c r="K108" s="23" t="s">
        <v>158</v>
      </c>
      <c r="L108" s="23" t="s">
        <v>806</v>
      </c>
      <c r="M108" s="23" t="s">
        <v>792</v>
      </c>
      <c r="N108" s="23" t="s">
        <v>793</v>
      </c>
      <c r="O108" s="23" t="s">
        <v>794</v>
      </c>
      <c r="P108" s="23" t="s">
        <v>795</v>
      </c>
      <c r="Q108" s="23" t="s">
        <v>164</v>
      </c>
      <c r="R108" s="24">
        <v>1734</v>
      </c>
      <c r="S108" s="56">
        <f>Table2[[#This Row],[delivery_time_in_seconds]]/60</f>
        <v>28.9</v>
      </c>
      <c r="T108" s="23">
        <v>170</v>
      </c>
      <c r="U108" s="23">
        <v>170</v>
      </c>
      <c r="V108" s="23">
        <v>170</v>
      </c>
      <c r="W108" s="23">
        <v>179</v>
      </c>
      <c r="X108" s="23">
        <v>47</v>
      </c>
      <c r="Y108" s="23" t="s">
        <v>796</v>
      </c>
      <c r="Z108" s="23" t="str">
        <f>IF(Table2[[#This Row],[restaurant_customer_distance]]&lt;=2,"0-2 Km",IF(Table2[[#This Row],[restaurant_customer_distance]]&lt;=5,"2-5 Km",IF(Table2[[#This Row],[restaurant_customer_distance]]&lt;=8,"5-8 Km","8+Km")))</f>
        <v>5-8 Km</v>
      </c>
      <c r="AA108" s="23">
        <v>6</v>
      </c>
      <c r="AB108" s="23" t="s">
        <v>646</v>
      </c>
      <c r="AC108" s="23" t="s">
        <v>416</v>
      </c>
      <c r="AD108" s="23" t="b">
        <v>1</v>
      </c>
      <c r="AE108" s="23">
        <v>0</v>
      </c>
      <c r="AF108" s="25">
        <f t="shared" si="14"/>
        <v>45108</v>
      </c>
      <c r="AG108" s="26" t="str">
        <f>IFERROR(VLOOKUP(AC108,#REF!,2,0),AC108)</f>
        <v>Koramangala</v>
      </c>
      <c r="AH108" s="27" t="str">
        <f t="shared" si="15"/>
        <v>Cafe Amudham</v>
      </c>
      <c r="AI108" s="28" t="str">
        <f t="shared" si="11"/>
        <v>12.933842204939534</v>
      </c>
      <c r="AJ108" s="29" t="str">
        <f t="shared" si="12"/>
        <v>77.61976898008312</v>
      </c>
      <c r="AK108"/>
    </row>
    <row r="1048576" spans="35:37">
      <c r="AI1048576" s="18"/>
      <c r="AJ1048576" s="19"/>
      <c r="AK1048576" s="2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63C1-FB20-476B-A342-5B0C742E2995}">
  <sheetPr>
    <tabColor theme="2" tint="-9.9978637043366805E-2"/>
  </sheetPr>
  <dimension ref="A1:Q224"/>
  <sheetViews>
    <sheetView topLeftCell="H1" zoomScaleNormal="100" workbookViewId="0">
      <selection activeCell="J41" sqref="J41"/>
    </sheetView>
  </sheetViews>
  <sheetFormatPr defaultRowHeight="14.45"/>
  <cols>
    <col min="1" max="1" width="12.42578125" bestFit="1" customWidth="1"/>
    <col min="2" max="2" width="15.140625" style="50" bestFit="1" customWidth="1"/>
    <col min="3" max="3" width="13" style="50" customWidth="1"/>
    <col min="4" max="4" width="12.42578125" bestFit="1" customWidth="1"/>
    <col min="5" max="5" width="14.42578125" bestFit="1" customWidth="1"/>
    <col min="6" max="6" width="20" style="48" bestFit="1" customWidth="1"/>
    <col min="7" max="7" width="21.85546875" bestFit="1" customWidth="1"/>
    <col min="8" max="8" width="14.42578125" bestFit="1" customWidth="1"/>
    <col min="10" max="10" width="38" bestFit="1" customWidth="1"/>
    <col min="11" max="11" width="14.42578125" style="21" bestFit="1" customWidth="1"/>
    <col min="12" max="12" width="7.140625" bestFit="1" customWidth="1"/>
    <col min="13" max="13" width="16.28515625" bestFit="1" customWidth="1"/>
    <col min="14" max="14" width="22.140625" customWidth="1"/>
    <col min="16" max="16" width="16.28515625" bestFit="1" customWidth="1"/>
  </cols>
  <sheetData>
    <row r="1" spans="1:14">
      <c r="D1" s="69" t="s">
        <v>807</v>
      </c>
      <c r="E1" s="69"/>
    </row>
    <row r="2" spans="1:14">
      <c r="D2" s="69"/>
      <c r="E2" s="69"/>
    </row>
    <row r="3" spans="1:14">
      <c r="D3" s="45" t="s">
        <v>808</v>
      </c>
      <c r="E3" s="50" t="s">
        <v>809</v>
      </c>
    </row>
    <row r="4" spans="1:14">
      <c r="A4" s="67" t="s">
        <v>810</v>
      </c>
      <c r="B4" s="67"/>
      <c r="D4" s="54">
        <v>45108</v>
      </c>
      <c r="E4" s="51">
        <v>1492</v>
      </c>
      <c r="F4"/>
      <c r="G4" s="65" t="s">
        <v>811</v>
      </c>
      <c r="H4" s="65"/>
      <c r="J4" s="59"/>
      <c r="K4" s="58"/>
    </row>
    <row r="5" spans="1:14">
      <c r="A5" s="67"/>
      <c r="B5" s="67"/>
      <c r="D5" s="46" t="s">
        <v>812</v>
      </c>
      <c r="E5" s="51">
        <v>1136</v>
      </c>
      <c r="F5"/>
      <c r="G5" s="65"/>
      <c r="H5" s="65"/>
      <c r="J5" s="47"/>
      <c r="K5" s="51"/>
    </row>
    <row r="6" spans="1:14">
      <c r="A6" s="45" t="s">
        <v>808</v>
      </c>
      <c r="B6" s="50" t="s">
        <v>813</v>
      </c>
      <c r="D6" s="46" t="s">
        <v>814</v>
      </c>
      <c r="E6" s="51">
        <v>356</v>
      </c>
      <c r="F6"/>
      <c r="G6" s="45" t="s">
        <v>808</v>
      </c>
      <c r="H6" s="50" t="s">
        <v>809</v>
      </c>
      <c r="J6" s="47"/>
      <c r="K6" s="51"/>
    </row>
    <row r="7" spans="1:14">
      <c r="A7" s="47" t="s">
        <v>815</v>
      </c>
      <c r="B7" s="51">
        <v>17</v>
      </c>
      <c r="D7" s="54">
        <v>45139</v>
      </c>
      <c r="E7" s="51">
        <v>3548</v>
      </c>
      <c r="F7"/>
      <c r="G7" s="47" t="s">
        <v>447</v>
      </c>
      <c r="H7" s="51">
        <v>164</v>
      </c>
      <c r="J7" s="47"/>
      <c r="K7" s="51"/>
    </row>
    <row r="8" spans="1:14">
      <c r="A8" s="47" t="s">
        <v>816</v>
      </c>
      <c r="B8" s="51">
        <v>28</v>
      </c>
      <c r="D8" s="46" t="s">
        <v>812</v>
      </c>
      <c r="E8" s="51">
        <v>2778</v>
      </c>
      <c r="F8"/>
      <c r="G8" s="47" t="s">
        <v>504</v>
      </c>
      <c r="H8" s="51">
        <v>3722</v>
      </c>
      <c r="J8" s="47"/>
      <c r="K8" s="51"/>
    </row>
    <row r="9" spans="1:14">
      <c r="B9"/>
      <c r="D9" s="46" t="s">
        <v>814</v>
      </c>
      <c r="E9" s="51">
        <v>770</v>
      </c>
      <c r="F9"/>
      <c r="G9" s="47" t="s">
        <v>405</v>
      </c>
      <c r="H9" s="51">
        <v>1636</v>
      </c>
    </row>
    <row r="10" spans="1:14">
      <c r="D10" s="54">
        <v>45170</v>
      </c>
      <c r="E10" s="51">
        <v>6319</v>
      </c>
      <c r="F10"/>
      <c r="G10" s="47" t="s">
        <v>726</v>
      </c>
      <c r="H10" s="51">
        <v>399</v>
      </c>
    </row>
    <row r="11" spans="1:14" ht="14.45" customHeight="1">
      <c r="D11" s="46" t="s">
        <v>812</v>
      </c>
      <c r="E11" s="51">
        <v>4365</v>
      </c>
      <c r="F11"/>
      <c r="G11" s="47" t="s">
        <v>775</v>
      </c>
      <c r="H11" s="51">
        <v>1537</v>
      </c>
      <c r="J11" s="65" t="s">
        <v>817</v>
      </c>
      <c r="K11" s="65"/>
      <c r="L11" s="65"/>
      <c r="M11" s="65"/>
      <c r="N11" s="65"/>
    </row>
    <row r="12" spans="1:14" ht="14.45" customHeight="1">
      <c r="A12" s="68" t="s">
        <v>818</v>
      </c>
      <c r="B12" s="68"/>
      <c r="C12" s="68"/>
      <c r="D12" s="46" t="s">
        <v>814</v>
      </c>
      <c r="E12" s="51">
        <v>1954</v>
      </c>
      <c r="F12"/>
      <c r="G12" s="47" t="s">
        <v>216</v>
      </c>
      <c r="H12" s="51">
        <v>369</v>
      </c>
      <c r="J12" s="65"/>
      <c r="K12" s="65"/>
      <c r="L12" s="65"/>
      <c r="M12" s="65"/>
      <c r="N12" s="65"/>
    </row>
    <row r="13" spans="1:14">
      <c r="A13" s="68"/>
      <c r="B13" s="68"/>
      <c r="C13" s="68"/>
      <c r="D13" s="54">
        <v>45200</v>
      </c>
      <c r="E13" s="51">
        <v>1958</v>
      </c>
      <c r="F13"/>
      <c r="G13" s="47" t="s">
        <v>795</v>
      </c>
      <c r="H13" s="51">
        <v>356</v>
      </c>
      <c r="J13" s="45" t="s">
        <v>819</v>
      </c>
      <c r="K13" s="45" t="s">
        <v>820</v>
      </c>
    </row>
    <row r="14" spans="1:14">
      <c r="A14" s="49" t="s">
        <v>821</v>
      </c>
      <c r="B14" s="49" t="s">
        <v>822</v>
      </c>
      <c r="C14" s="52" t="s">
        <v>823</v>
      </c>
      <c r="D14" s="46" t="s">
        <v>812</v>
      </c>
      <c r="E14" s="51">
        <v>1248</v>
      </c>
      <c r="F14"/>
      <c r="G14" s="47" t="s">
        <v>589</v>
      </c>
      <c r="H14" s="51">
        <v>455</v>
      </c>
      <c r="J14" s="45" t="s">
        <v>808</v>
      </c>
      <c r="K14" t="s">
        <v>815</v>
      </c>
      <c r="L14" t="s">
        <v>816</v>
      </c>
    </row>
    <row r="15" spans="1:14">
      <c r="A15">
        <f>COUNTA(Table2[order_status],"Delivered")</f>
        <v>108</v>
      </c>
      <c r="B15" s="50">
        <f>COUNTIFS(Table2[order_status],"Delivered",Table2[rain_mode],2)</f>
        <v>3</v>
      </c>
      <c r="C15" s="53">
        <f>B15/A15</f>
        <v>2.7777777777777776E-2</v>
      </c>
      <c r="D15" s="46" t="s">
        <v>814</v>
      </c>
      <c r="E15" s="51">
        <v>710</v>
      </c>
      <c r="F15"/>
      <c r="G15" s="47" t="s">
        <v>603</v>
      </c>
      <c r="H15" s="51">
        <v>221</v>
      </c>
      <c r="J15" s="47" t="s">
        <v>824</v>
      </c>
      <c r="K15" s="53">
        <v>0.41176470588235292</v>
      </c>
      <c r="L15" s="53">
        <v>0.58823529411764708</v>
      </c>
    </row>
    <row r="16" spans="1:14">
      <c r="D16" s="54">
        <v>45231</v>
      </c>
      <c r="E16" s="51">
        <v>2402</v>
      </c>
      <c r="F16"/>
      <c r="G16" s="47" t="s">
        <v>238</v>
      </c>
      <c r="H16" s="51">
        <v>1523</v>
      </c>
      <c r="J16" s="47" t="s">
        <v>825</v>
      </c>
      <c r="K16" s="53">
        <v>0.69565217391304346</v>
      </c>
      <c r="L16" s="53">
        <v>0.30434782608695654</v>
      </c>
    </row>
    <row r="17" spans="1:17">
      <c r="D17" s="46" t="s">
        <v>812</v>
      </c>
      <c r="E17" s="51">
        <v>1567</v>
      </c>
      <c r="F17"/>
      <c r="G17" s="47" t="s">
        <v>340</v>
      </c>
      <c r="H17" s="51">
        <v>342</v>
      </c>
      <c r="J17" s="47" t="s">
        <v>826</v>
      </c>
      <c r="K17" s="53">
        <v>0.8</v>
      </c>
      <c r="L17" s="53">
        <v>0.2</v>
      </c>
    </row>
    <row r="18" spans="1:17">
      <c r="D18" s="46" t="s">
        <v>814</v>
      </c>
      <c r="E18" s="51">
        <v>835</v>
      </c>
      <c r="F18"/>
      <c r="G18" s="47" t="s">
        <v>764</v>
      </c>
      <c r="H18" s="51">
        <v>504</v>
      </c>
      <c r="K18"/>
    </row>
    <row r="19" spans="1:17">
      <c r="D19" s="54">
        <v>45261</v>
      </c>
      <c r="E19" s="51">
        <v>2678</v>
      </c>
      <c r="F19"/>
      <c r="G19" s="47" t="s">
        <v>608</v>
      </c>
      <c r="H19" s="51">
        <v>287</v>
      </c>
      <c r="K19"/>
      <c r="M19" s="66" t="s">
        <v>827</v>
      </c>
      <c r="N19" s="66"/>
    </row>
    <row r="20" spans="1:17">
      <c r="A20" s="70" t="s">
        <v>828</v>
      </c>
      <c r="B20" s="70"/>
      <c r="D20" s="46" t="s">
        <v>812</v>
      </c>
      <c r="E20" s="51">
        <v>2211</v>
      </c>
      <c r="F20"/>
      <c r="G20" s="47" t="s">
        <v>744</v>
      </c>
      <c r="H20" s="51">
        <v>946</v>
      </c>
      <c r="K20"/>
      <c r="M20" s="66"/>
      <c r="N20" s="66"/>
    </row>
    <row r="21" spans="1:17">
      <c r="A21" s="70"/>
      <c r="B21" s="70"/>
      <c r="D21" s="46" t="s">
        <v>814</v>
      </c>
      <c r="E21" s="51">
        <v>467</v>
      </c>
      <c r="F21"/>
      <c r="G21" s="47" t="s">
        <v>579</v>
      </c>
      <c r="H21" s="51">
        <v>1315</v>
      </c>
      <c r="M21" s="45" t="s">
        <v>808</v>
      </c>
      <c r="N21" s="50" t="s">
        <v>829</v>
      </c>
    </row>
    <row r="22" spans="1:17">
      <c r="A22" s="45" t="s">
        <v>808</v>
      </c>
      <c r="B22" s="50" t="s">
        <v>813</v>
      </c>
      <c r="G22" s="47" t="s">
        <v>240</v>
      </c>
      <c r="H22" s="51">
        <v>770</v>
      </c>
      <c r="M22" s="47" t="s">
        <v>610</v>
      </c>
      <c r="N22" s="60">
        <v>599.98</v>
      </c>
      <c r="P22" s="47" t="s">
        <v>167</v>
      </c>
      <c r="Q22" s="60">
        <v>0</v>
      </c>
    </row>
    <row r="23" spans="1:17">
      <c r="A23" s="47" t="s">
        <v>646</v>
      </c>
      <c r="B23" s="51">
        <v>20</v>
      </c>
      <c r="G23" s="47" t="s">
        <v>737</v>
      </c>
      <c r="H23" s="51">
        <v>356</v>
      </c>
      <c r="M23" s="47" t="s">
        <v>252</v>
      </c>
      <c r="N23" s="60">
        <v>481.28000000000003</v>
      </c>
      <c r="P23" s="47" t="s">
        <v>592</v>
      </c>
      <c r="Q23" s="60">
        <v>50.01</v>
      </c>
    </row>
    <row r="24" spans="1:17">
      <c r="A24" s="47" t="s">
        <v>166</v>
      </c>
      <c r="B24" s="51">
        <v>25</v>
      </c>
      <c r="G24" s="47" t="s">
        <v>481</v>
      </c>
      <c r="H24" s="51">
        <v>853</v>
      </c>
      <c r="M24" s="47" t="s">
        <v>707</v>
      </c>
      <c r="N24" s="60">
        <v>335</v>
      </c>
      <c r="P24" s="47" t="s">
        <v>663</v>
      </c>
      <c r="Q24" s="60">
        <v>62.09</v>
      </c>
    </row>
    <row r="25" spans="1:17">
      <c r="B25"/>
      <c r="G25" s="47" t="s">
        <v>557</v>
      </c>
      <c r="H25" s="51">
        <v>1676</v>
      </c>
      <c r="M25" s="47" t="s">
        <v>153</v>
      </c>
      <c r="N25" s="60">
        <v>300</v>
      </c>
      <c r="P25" s="47" t="s">
        <v>702</v>
      </c>
      <c r="Q25" s="60">
        <v>80</v>
      </c>
    </row>
    <row r="26" spans="1:17">
      <c r="G26" s="47" t="s">
        <v>661</v>
      </c>
      <c r="H26" s="51">
        <v>265</v>
      </c>
      <c r="M26" s="47" t="s">
        <v>289</v>
      </c>
      <c r="N26" s="60">
        <v>228.99</v>
      </c>
      <c r="P26" s="47" t="s">
        <v>638</v>
      </c>
      <c r="Q26" s="60">
        <v>99.99</v>
      </c>
    </row>
    <row r="27" spans="1:17">
      <c r="G27" s="47" t="s">
        <v>785</v>
      </c>
      <c r="H27" s="51">
        <v>171</v>
      </c>
      <c r="M27" s="47" t="s">
        <v>549</v>
      </c>
      <c r="N27" s="60">
        <v>174.99</v>
      </c>
      <c r="P27" s="47" t="s">
        <v>387</v>
      </c>
      <c r="Q27" s="60">
        <v>100</v>
      </c>
    </row>
    <row r="28" spans="1:17">
      <c r="A28" s="61">
        <f>SUM(Table2[net_total])</f>
        <v>43964</v>
      </c>
      <c r="G28" s="47" t="s">
        <v>679</v>
      </c>
      <c r="H28" s="51">
        <v>530</v>
      </c>
      <c r="M28" s="47" t="s">
        <v>176</v>
      </c>
      <c r="N28" s="60">
        <v>160</v>
      </c>
      <c r="P28" s="47" t="s">
        <v>731</v>
      </c>
      <c r="Q28" s="60">
        <v>125</v>
      </c>
    </row>
    <row r="29" spans="1:17">
      <c r="A29" s="61">
        <f>AVERAGE(Table2[net_total])</f>
        <v>410.87850467289718</v>
      </c>
      <c r="M29" s="47" t="s">
        <v>731</v>
      </c>
      <c r="N29" s="60">
        <v>125</v>
      </c>
      <c r="P29" s="47" t="s">
        <v>176</v>
      </c>
      <c r="Q29" s="60">
        <v>160</v>
      </c>
    </row>
    <row r="30" spans="1:17">
      <c r="M30" s="47" t="s">
        <v>387</v>
      </c>
      <c r="N30" s="60">
        <v>100</v>
      </c>
      <c r="P30" s="47" t="s">
        <v>549</v>
      </c>
      <c r="Q30" s="60">
        <v>174.99</v>
      </c>
    </row>
    <row r="31" spans="1:17">
      <c r="A31" s="47" t="s">
        <v>166</v>
      </c>
      <c r="B31" s="51">
        <v>81</v>
      </c>
      <c r="M31" s="47" t="s">
        <v>638</v>
      </c>
      <c r="N31" s="60">
        <v>99.99</v>
      </c>
      <c r="P31" s="47" t="s">
        <v>289</v>
      </c>
      <c r="Q31" s="60">
        <v>228.99</v>
      </c>
    </row>
    <row r="32" spans="1:17">
      <c r="A32" s="47" t="s">
        <v>646</v>
      </c>
      <c r="B32" s="51">
        <v>20</v>
      </c>
      <c r="M32" s="47" t="s">
        <v>702</v>
      </c>
      <c r="N32" s="60">
        <v>80</v>
      </c>
      <c r="P32" s="47" t="s">
        <v>153</v>
      </c>
      <c r="Q32" s="60">
        <v>300</v>
      </c>
    </row>
    <row r="33" spans="1:17">
      <c r="A33" s="47" t="s">
        <v>218</v>
      </c>
      <c r="B33" s="51">
        <v>6</v>
      </c>
      <c r="J33" s="45" t="s">
        <v>808</v>
      </c>
      <c r="K33" s="50" t="s">
        <v>809</v>
      </c>
      <c r="M33" s="47" t="s">
        <v>663</v>
      </c>
      <c r="N33" s="60">
        <v>62.09</v>
      </c>
      <c r="P33" s="47" t="s">
        <v>707</v>
      </c>
      <c r="Q33" s="60">
        <v>335</v>
      </c>
    </row>
    <row r="34" spans="1:17">
      <c r="J34" s="47" t="s">
        <v>89</v>
      </c>
      <c r="K34" s="60">
        <v>1369</v>
      </c>
      <c r="M34" s="47" t="s">
        <v>592</v>
      </c>
      <c r="N34" s="60">
        <v>50.01</v>
      </c>
      <c r="P34" s="47" t="s">
        <v>252</v>
      </c>
      <c r="Q34" s="60">
        <v>481.28000000000003</v>
      </c>
    </row>
    <row r="35" spans="1:17">
      <c r="J35" s="47" t="s">
        <v>58</v>
      </c>
      <c r="K35" s="60">
        <v>553</v>
      </c>
      <c r="M35" s="47" t="s">
        <v>167</v>
      </c>
      <c r="N35" s="60">
        <v>0</v>
      </c>
      <c r="P35" s="47" t="s">
        <v>610</v>
      </c>
      <c r="Q35" s="60">
        <v>599.98</v>
      </c>
    </row>
    <row r="36" spans="1:17">
      <c r="J36" s="47" t="s">
        <v>109</v>
      </c>
      <c r="K36" s="60">
        <v>171</v>
      </c>
    </row>
    <row r="37" spans="1:17">
      <c r="J37" s="47" t="s">
        <v>101</v>
      </c>
      <c r="K37" s="60">
        <v>369</v>
      </c>
    </row>
    <row r="38" spans="1:17">
      <c r="J38" s="47" t="s">
        <v>107</v>
      </c>
      <c r="K38" s="60">
        <v>401</v>
      </c>
    </row>
    <row r="39" spans="1:17">
      <c r="J39" s="47" t="s">
        <v>84</v>
      </c>
      <c r="K39" s="60">
        <v>530</v>
      </c>
    </row>
    <row r="40" spans="1:17">
      <c r="J40" s="47" t="s">
        <v>73</v>
      </c>
      <c r="K40" s="60">
        <v>333</v>
      </c>
    </row>
    <row r="41" spans="1:17">
      <c r="J41" s="47" t="s">
        <v>71</v>
      </c>
      <c r="K41" s="60">
        <v>221</v>
      </c>
    </row>
    <row r="42" spans="1:17">
      <c r="J42" s="47" t="s">
        <v>64</v>
      </c>
      <c r="K42" s="60">
        <v>573</v>
      </c>
    </row>
    <row r="43" spans="1:17">
      <c r="J43" s="47" t="s">
        <v>96</v>
      </c>
      <c r="K43" s="60">
        <v>399</v>
      </c>
    </row>
    <row r="44" spans="1:17">
      <c r="J44" s="47" t="s">
        <v>113</v>
      </c>
      <c r="K44" s="60">
        <v>1136</v>
      </c>
    </row>
    <row r="45" spans="1:17">
      <c r="J45" s="47" t="s">
        <v>74</v>
      </c>
      <c r="K45" s="60">
        <v>381</v>
      </c>
    </row>
    <row r="46" spans="1:17">
      <c r="J46" s="47" t="s">
        <v>93</v>
      </c>
      <c r="K46" s="60">
        <v>1905</v>
      </c>
    </row>
    <row r="47" spans="1:17">
      <c r="J47" s="47" t="s">
        <v>78</v>
      </c>
      <c r="K47" s="60">
        <v>221</v>
      </c>
    </row>
    <row r="48" spans="1:17">
      <c r="J48" s="47" t="s">
        <v>77</v>
      </c>
      <c r="K48" s="60">
        <v>300</v>
      </c>
    </row>
    <row r="49" spans="10:11">
      <c r="J49" s="47" t="s">
        <v>75</v>
      </c>
      <c r="K49" s="60">
        <v>298</v>
      </c>
    </row>
    <row r="50" spans="10:11">
      <c r="J50" s="47" t="s">
        <v>76</v>
      </c>
      <c r="K50" s="60">
        <v>167</v>
      </c>
    </row>
    <row r="51" spans="10:11">
      <c r="J51" s="47" t="s">
        <v>34</v>
      </c>
      <c r="K51" s="60">
        <v>287</v>
      </c>
    </row>
    <row r="52" spans="10:11">
      <c r="J52" s="47" t="s">
        <v>65</v>
      </c>
      <c r="K52" s="60">
        <v>380</v>
      </c>
    </row>
    <row r="53" spans="10:11">
      <c r="J53" s="47" t="s">
        <v>81</v>
      </c>
      <c r="K53" s="60">
        <v>189</v>
      </c>
    </row>
    <row r="54" spans="10:11">
      <c r="J54" s="47" t="s">
        <v>100</v>
      </c>
      <c r="K54" s="60">
        <v>164</v>
      </c>
    </row>
    <row r="55" spans="10:11">
      <c r="J55" s="47" t="s">
        <v>80</v>
      </c>
      <c r="K55" s="60">
        <v>265</v>
      </c>
    </row>
    <row r="56" spans="10:11">
      <c r="J56" s="47" t="s">
        <v>110</v>
      </c>
      <c r="K56" s="60">
        <v>645</v>
      </c>
    </row>
    <row r="57" spans="10:11">
      <c r="J57" s="47" t="s">
        <v>45</v>
      </c>
      <c r="K57" s="60">
        <v>342</v>
      </c>
    </row>
    <row r="58" spans="10:11">
      <c r="J58" s="47" t="s">
        <v>112</v>
      </c>
      <c r="K58" s="60">
        <v>356</v>
      </c>
    </row>
    <row r="59" spans="10:11">
      <c r="J59" s="47" t="s">
        <v>102</v>
      </c>
      <c r="K59" s="60">
        <v>504</v>
      </c>
    </row>
    <row r="60" spans="10:11">
      <c r="J60" s="47" t="s">
        <v>61</v>
      </c>
      <c r="K60" s="60">
        <v>372</v>
      </c>
    </row>
    <row r="61" spans="10:11">
      <c r="J61" s="47" t="s">
        <v>66</v>
      </c>
      <c r="K61" s="60">
        <v>455</v>
      </c>
    </row>
    <row r="62" spans="10:11">
      <c r="J62" s="47" t="s">
        <v>104</v>
      </c>
      <c r="K62" s="60">
        <v>477</v>
      </c>
    </row>
    <row r="63" spans="10:11">
      <c r="J63" s="47" t="s">
        <v>37</v>
      </c>
      <c r="K63" s="60">
        <v>251</v>
      </c>
    </row>
    <row r="64" spans="10:11">
      <c r="J64" s="47" t="s">
        <v>99</v>
      </c>
      <c r="K64" s="60">
        <v>301</v>
      </c>
    </row>
    <row r="65" spans="10:11">
      <c r="J65" s="47" t="s">
        <v>63</v>
      </c>
      <c r="K65" s="60">
        <v>598</v>
      </c>
    </row>
    <row r="66" spans="10:11">
      <c r="J66" s="47" t="s">
        <v>87</v>
      </c>
      <c r="K66" s="60">
        <v>281</v>
      </c>
    </row>
    <row r="67" spans="10:11">
      <c r="J67" s="47" t="s">
        <v>62</v>
      </c>
      <c r="K67" s="60">
        <v>355</v>
      </c>
    </row>
    <row r="68" spans="10:11">
      <c r="J68" s="47" t="s">
        <v>69</v>
      </c>
      <c r="K68" s="60">
        <v>362</v>
      </c>
    </row>
    <row r="69" spans="10:11">
      <c r="J69" s="47" t="s">
        <v>98</v>
      </c>
      <c r="K69" s="60">
        <v>872</v>
      </c>
    </row>
    <row r="70" spans="10:11">
      <c r="J70" s="47" t="s">
        <v>60</v>
      </c>
      <c r="K70" s="60">
        <v>788</v>
      </c>
    </row>
    <row r="71" spans="10:11">
      <c r="J71" s="47" t="s">
        <v>14</v>
      </c>
      <c r="K71" s="60">
        <v>826</v>
      </c>
    </row>
    <row r="72" spans="10:11">
      <c r="K72"/>
    </row>
    <row r="73" spans="10:11">
      <c r="K73"/>
    </row>
    <row r="74" spans="10:11">
      <c r="K74"/>
    </row>
    <row r="75" spans="10:11">
      <c r="K75"/>
    </row>
    <row r="76" spans="10:11">
      <c r="K76"/>
    </row>
    <row r="77" spans="10:11">
      <c r="K77"/>
    </row>
    <row r="78" spans="10:11">
      <c r="K78"/>
    </row>
    <row r="79" spans="10:11">
      <c r="K79"/>
    </row>
    <row r="80" spans="10:11">
      <c r="K80"/>
    </row>
    <row r="81" spans="11:11">
      <c r="K81"/>
    </row>
    <row r="82" spans="11:11">
      <c r="K82"/>
    </row>
    <row r="83" spans="11:11">
      <c r="K83"/>
    </row>
    <row r="84" spans="11:11">
      <c r="K84"/>
    </row>
    <row r="85" spans="11:11">
      <c r="K85"/>
    </row>
    <row r="86" spans="11:11">
      <c r="K86"/>
    </row>
    <row r="87" spans="11:11">
      <c r="K87"/>
    </row>
    <row r="88" spans="11:11">
      <c r="K88"/>
    </row>
    <row r="89" spans="11:11">
      <c r="K89"/>
    </row>
    <row r="90" spans="11:11">
      <c r="K90"/>
    </row>
    <row r="91" spans="11:11">
      <c r="K91"/>
    </row>
    <row r="92" spans="11:11">
      <c r="K92"/>
    </row>
    <row r="93" spans="11:11">
      <c r="K93"/>
    </row>
    <row r="94" spans="11:11">
      <c r="K94"/>
    </row>
    <row r="95" spans="11:11">
      <c r="K95"/>
    </row>
    <row r="96" spans="11:11">
      <c r="K96"/>
    </row>
    <row r="97" spans="11:11">
      <c r="K97"/>
    </row>
    <row r="98" spans="11:11">
      <c r="K98"/>
    </row>
    <row r="99" spans="11:11">
      <c r="K99"/>
    </row>
    <row r="100" spans="11:11">
      <c r="K100"/>
    </row>
    <row r="101" spans="11:11">
      <c r="K101"/>
    </row>
    <row r="102" spans="11:11">
      <c r="K102"/>
    </row>
    <row r="103" spans="11:11">
      <c r="K103"/>
    </row>
    <row r="104" spans="11:11">
      <c r="K104"/>
    </row>
    <row r="105" spans="11:11">
      <c r="K105"/>
    </row>
    <row r="106" spans="11:11">
      <c r="K106"/>
    </row>
    <row r="107" spans="11:11">
      <c r="K107"/>
    </row>
    <row r="108" spans="11:11">
      <c r="K108"/>
    </row>
    <row r="109" spans="11:11">
      <c r="K109"/>
    </row>
    <row r="110" spans="11:11">
      <c r="K110"/>
    </row>
    <row r="111" spans="11:11">
      <c r="K111"/>
    </row>
    <row r="112" spans="11:11">
      <c r="K112"/>
    </row>
    <row r="113" spans="11:11">
      <c r="K113"/>
    </row>
    <row r="114" spans="11:11">
      <c r="K114"/>
    </row>
    <row r="115" spans="11:11">
      <c r="K115"/>
    </row>
    <row r="116" spans="11:11">
      <c r="K116"/>
    </row>
    <row r="117" spans="11:11">
      <c r="K117"/>
    </row>
    <row r="118" spans="11:11">
      <c r="K118"/>
    </row>
    <row r="119" spans="11:11">
      <c r="K119"/>
    </row>
    <row r="120" spans="11:11">
      <c r="K120"/>
    </row>
    <row r="121" spans="11:11">
      <c r="K121"/>
    </row>
    <row r="122" spans="11:11">
      <c r="K122"/>
    </row>
    <row r="123" spans="11:11">
      <c r="K123"/>
    </row>
    <row r="124" spans="11:11">
      <c r="K124"/>
    </row>
    <row r="125" spans="11:11">
      <c r="K125"/>
    </row>
    <row r="126" spans="11:11">
      <c r="K126"/>
    </row>
    <row r="127" spans="11:11">
      <c r="K127"/>
    </row>
    <row r="128" spans="11:11">
      <c r="K128"/>
    </row>
    <row r="129" spans="11:11">
      <c r="K129"/>
    </row>
    <row r="130" spans="11:11">
      <c r="K130"/>
    </row>
    <row r="131" spans="11:11">
      <c r="K131"/>
    </row>
    <row r="132" spans="11:11">
      <c r="K132"/>
    </row>
    <row r="133" spans="11:11">
      <c r="K133"/>
    </row>
    <row r="134" spans="11:11">
      <c r="K134"/>
    </row>
    <row r="135" spans="11:11">
      <c r="K135"/>
    </row>
    <row r="136" spans="11:11">
      <c r="K136"/>
    </row>
    <row r="137" spans="11:11">
      <c r="K137"/>
    </row>
    <row r="138" spans="11:11">
      <c r="K138"/>
    </row>
    <row r="139" spans="11:11">
      <c r="K139"/>
    </row>
    <row r="140" spans="11:11">
      <c r="K140"/>
    </row>
    <row r="141" spans="11:11">
      <c r="K141"/>
    </row>
    <row r="142" spans="11:11">
      <c r="K142"/>
    </row>
    <row r="143" spans="11:11">
      <c r="K143"/>
    </row>
    <row r="144" spans="11:11">
      <c r="K144"/>
    </row>
    <row r="145" spans="11:11">
      <c r="K145"/>
    </row>
    <row r="146" spans="11:11">
      <c r="K146"/>
    </row>
    <row r="147" spans="11:11">
      <c r="K147"/>
    </row>
    <row r="148" spans="11:11">
      <c r="K148"/>
    </row>
    <row r="149" spans="11:11">
      <c r="K149"/>
    </row>
    <row r="150" spans="11:11">
      <c r="K150"/>
    </row>
    <row r="151" spans="11:11">
      <c r="K151"/>
    </row>
    <row r="152" spans="11:11">
      <c r="K152"/>
    </row>
    <row r="153" spans="11:11">
      <c r="K153"/>
    </row>
    <row r="154" spans="11:11">
      <c r="K154"/>
    </row>
    <row r="155" spans="11:11">
      <c r="K155"/>
    </row>
    <row r="156" spans="11:11">
      <c r="K156"/>
    </row>
    <row r="157" spans="11:11">
      <c r="K157"/>
    </row>
    <row r="158" spans="11:11">
      <c r="K158"/>
    </row>
    <row r="159" spans="11:11">
      <c r="K159"/>
    </row>
    <row r="160" spans="11:11">
      <c r="K160"/>
    </row>
    <row r="161" spans="11:11">
      <c r="K161"/>
    </row>
    <row r="162" spans="11:11">
      <c r="K162"/>
    </row>
    <row r="163" spans="11:11">
      <c r="K163"/>
    </row>
    <row r="164" spans="11:11">
      <c r="K164"/>
    </row>
    <row r="165" spans="11:11">
      <c r="K165"/>
    </row>
    <row r="166" spans="11:11">
      <c r="K166"/>
    </row>
    <row r="167" spans="11:11">
      <c r="K167"/>
    </row>
    <row r="168" spans="11:11">
      <c r="K168"/>
    </row>
    <row r="169" spans="11:11">
      <c r="K169"/>
    </row>
    <row r="170" spans="11:11">
      <c r="K170"/>
    </row>
    <row r="171" spans="11:11">
      <c r="K171"/>
    </row>
    <row r="172" spans="11:11">
      <c r="K172"/>
    </row>
    <row r="173" spans="11:11">
      <c r="K173"/>
    </row>
    <row r="174" spans="11:11">
      <c r="K174"/>
    </row>
    <row r="175" spans="11:11">
      <c r="K175"/>
    </row>
    <row r="176" spans="11:11">
      <c r="K176"/>
    </row>
    <row r="177" spans="11:11">
      <c r="K177"/>
    </row>
    <row r="178" spans="11:11">
      <c r="K178"/>
    </row>
    <row r="179" spans="11:11">
      <c r="K179"/>
    </row>
    <row r="180" spans="11:11">
      <c r="K180"/>
    </row>
    <row r="181" spans="11:11">
      <c r="K181"/>
    </row>
    <row r="182" spans="11:11">
      <c r="K182"/>
    </row>
    <row r="183" spans="11:11">
      <c r="K183"/>
    </row>
    <row r="184" spans="11:11">
      <c r="K184"/>
    </row>
    <row r="185" spans="11:11">
      <c r="K185"/>
    </row>
    <row r="186" spans="11:11">
      <c r="K186"/>
    </row>
    <row r="187" spans="11:11">
      <c r="K187"/>
    </row>
    <row r="188" spans="11:11">
      <c r="K188"/>
    </row>
    <row r="189" spans="11:11">
      <c r="K189"/>
    </row>
    <row r="190" spans="11:11">
      <c r="K190"/>
    </row>
    <row r="191" spans="11:11">
      <c r="K191"/>
    </row>
    <row r="192" spans="11:11">
      <c r="K192"/>
    </row>
    <row r="193" spans="11:11">
      <c r="K193"/>
    </row>
    <row r="194" spans="11:11">
      <c r="K194"/>
    </row>
    <row r="195" spans="11:11">
      <c r="K195"/>
    </row>
    <row r="196" spans="11:11">
      <c r="K196"/>
    </row>
    <row r="197" spans="11:11">
      <c r="K197"/>
    </row>
    <row r="198" spans="11:11">
      <c r="K198"/>
    </row>
    <row r="199" spans="11:11">
      <c r="K199"/>
    </row>
    <row r="200" spans="11:11">
      <c r="K200"/>
    </row>
    <row r="201" spans="11:11">
      <c r="K201"/>
    </row>
    <row r="202" spans="11:11">
      <c r="K202"/>
    </row>
    <row r="203" spans="11:11">
      <c r="K203"/>
    </row>
    <row r="204" spans="11:11">
      <c r="K204"/>
    </row>
    <row r="205" spans="11:11">
      <c r="K205"/>
    </row>
    <row r="206" spans="11:11">
      <c r="K206"/>
    </row>
    <row r="207" spans="11:11">
      <c r="K207"/>
    </row>
    <row r="208" spans="11:11">
      <c r="K208"/>
    </row>
    <row r="209" spans="11:11">
      <c r="K209"/>
    </row>
    <row r="210" spans="11:11">
      <c r="K210"/>
    </row>
    <row r="211" spans="11:11">
      <c r="K211"/>
    </row>
    <row r="212" spans="11:11">
      <c r="K212"/>
    </row>
    <row r="213" spans="11:11">
      <c r="K213"/>
    </row>
    <row r="214" spans="11:11">
      <c r="K214"/>
    </row>
    <row r="215" spans="11:11">
      <c r="K215"/>
    </row>
    <row r="216" spans="11:11">
      <c r="K216"/>
    </row>
    <row r="217" spans="11:11">
      <c r="K217"/>
    </row>
    <row r="218" spans="11:11">
      <c r="K218"/>
    </row>
    <row r="219" spans="11:11">
      <c r="K219"/>
    </row>
    <row r="220" spans="11:11">
      <c r="K220"/>
    </row>
    <row r="221" spans="11:11">
      <c r="K221"/>
    </row>
    <row r="222" spans="11:11">
      <c r="K222"/>
    </row>
    <row r="223" spans="11:11">
      <c r="K223"/>
    </row>
    <row r="224" spans="11:11">
      <c r="K224"/>
    </row>
  </sheetData>
  <sortState xmlns:xlrd2="http://schemas.microsoft.com/office/spreadsheetml/2017/richdata2" ref="P22:Q35">
    <sortCondition ref="Q22:Q35"/>
  </sortState>
  <mergeCells count="7">
    <mergeCell ref="J11:N12"/>
    <mergeCell ref="M19:N20"/>
    <mergeCell ref="A4:B5"/>
    <mergeCell ref="A12:C13"/>
    <mergeCell ref="D1:E2"/>
    <mergeCell ref="G4:H5"/>
    <mergeCell ref="A20:B21"/>
  </mergeCells>
  <pageMargins left="0.7" right="0.7" top="0.75" bottom="0.75" header="0.3" footer="0.3"/>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57494-671E-4ED6-9C52-B44933D63EAA}">
  <dimension ref="K45"/>
  <sheetViews>
    <sheetView showGridLines="0" tabSelected="1" zoomScale="61" zoomScaleNormal="100" workbookViewId="0">
      <selection activeCell="K18" sqref="K18"/>
    </sheetView>
  </sheetViews>
  <sheetFormatPr defaultColWidth="8.85546875" defaultRowHeight="14.45"/>
  <cols>
    <col min="1" max="16384" width="8.85546875" style="63"/>
  </cols>
  <sheetData>
    <row r="45" spans="11:11">
      <c r="K45" s="6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9F908AC9-1697-4D91-915E-D63ECE19928D}"/>
</file>

<file path=customXml/itemProps2.xml><?xml version="1.0" encoding="utf-8"?>
<ds:datastoreItem xmlns:ds="http://schemas.openxmlformats.org/officeDocument/2006/customXml" ds:itemID="{B1A5C53C-EB68-4E99-972F-F540E597883D}"/>
</file>

<file path=customXml/itemProps3.xml><?xml version="1.0" encoding="utf-8"?>
<ds:datastoreItem xmlns:ds="http://schemas.openxmlformats.org/officeDocument/2006/customXml" ds:itemID="{CA6BF9CB-700D-4758-9056-9FA61F2B68DB}"/>
</file>

<file path=customXml/itemProps4.xml><?xml version="1.0" encoding="utf-8"?>
<ds:datastoreItem xmlns:ds="http://schemas.openxmlformats.org/officeDocument/2006/customXml" ds:itemID="{5E3C1DAD-AAA5-46A7-BA17-995AD8F1BC6F}"/>
</file>

<file path=customXml/itemProps5.xml><?xml version="1.0" encoding="utf-8"?>
<ds:datastoreItem xmlns:ds="http://schemas.openxmlformats.org/officeDocument/2006/customXml" ds:itemID="{C543E236-3170-420B-85B0-181157106BB7}"/>
</file>

<file path=customXml/itemProps6.xml><?xml version="1.0" encoding="utf-8"?>
<ds:datastoreItem xmlns:ds="http://schemas.openxmlformats.org/officeDocument/2006/customXml" ds:itemID="{57141E15-0A43-4AEA-A124-33E4B0CE4ACD}"/>
</file>

<file path=customXml/itemProps7.xml><?xml version="1.0" encoding="utf-8"?>
<ds:datastoreItem xmlns:ds="http://schemas.openxmlformats.org/officeDocument/2006/customXml" ds:itemID="{8160962D-4768-4776-84F7-0D49BFF015B0}"/>
</file>

<file path=customXml/itemProps8.xml><?xml version="1.0" encoding="utf-8"?>
<ds:datastoreItem xmlns:ds="http://schemas.openxmlformats.org/officeDocument/2006/customXml" ds:itemID="{AEA3ABF6-3145-4324-8141-70F7A22901C9}"/>
</file>

<file path=customXml/itemProps9.xml><?xml version="1.0" encoding="utf-8"?>
<ds:datastoreItem xmlns:ds="http://schemas.openxmlformats.org/officeDocument/2006/customXml" ds:itemID="{7DE1D143-9A90-4171-8C84-48D2BEFE90F1}"/>
</file>

<file path=customXml/itemProps10.xml><?xml version="1.0" encoding="utf-8"?>
<ds:datastoreItem xmlns:ds="http://schemas.openxmlformats.org/officeDocument/2006/customXml" ds:itemID="{193B3140-10DA-4E05-9827-66ACE9F41ABD}"/>
</file>

<file path=customXml/itemProps11.xml><?xml version="1.0" encoding="utf-8"?>
<ds:datastoreItem xmlns:ds="http://schemas.openxmlformats.org/officeDocument/2006/customXml" ds:itemID="{780DBF4E-4811-4696-88EF-D7F7C2FD5C9C}"/>
</file>

<file path=customXml/itemProps12.xml><?xml version="1.0" encoding="utf-8"?>
<ds:datastoreItem xmlns:ds="http://schemas.openxmlformats.org/officeDocument/2006/customXml" ds:itemID="{207EF267-A02F-46D0-90C7-F31A010DB7C7}"/>
</file>

<file path=customXml/itemProps13.xml><?xml version="1.0" encoding="utf-8"?>
<ds:datastoreItem xmlns:ds="http://schemas.openxmlformats.org/officeDocument/2006/customXml" ds:itemID="{E2D3340E-608B-4F12-B6F7-DBB67786EAEE}"/>
</file>

<file path=customXml/itemProps14.xml><?xml version="1.0" encoding="utf-8"?>
<ds:datastoreItem xmlns:ds="http://schemas.openxmlformats.org/officeDocument/2006/customXml" ds:itemID="{5917DDCF-480F-4C28-BA6A-A973FAE311B3}"/>
</file>

<file path=customXml/itemProps15.xml><?xml version="1.0" encoding="utf-8"?>
<ds:datastoreItem xmlns:ds="http://schemas.openxmlformats.org/officeDocument/2006/customXml" ds:itemID="{61696E66-173E-40BB-97DF-3CD901E3D8CC}"/>
</file>

<file path=customXml/itemProps16.xml><?xml version="1.0" encoding="utf-8"?>
<ds:datastoreItem xmlns:ds="http://schemas.openxmlformats.org/officeDocument/2006/customXml" ds:itemID="{DE593FC7-CE48-4719-B45E-08B7882E6D12}"/>
</file>

<file path=customXml/itemProps17.xml><?xml version="1.0" encoding="utf-8"?>
<ds:datastoreItem xmlns:ds="http://schemas.openxmlformats.org/officeDocument/2006/customXml" ds:itemID="{45EA2204-1E10-4575-8DD7-97EB5A89C6B3}"/>
</file>

<file path=customXml/itemProps18.xml><?xml version="1.0" encoding="utf-8"?>
<ds:datastoreItem xmlns:ds="http://schemas.openxmlformats.org/officeDocument/2006/customXml" ds:itemID="{405EF23D-4EF8-4CE4-AB37-A21CCE45D9F4}"/>
</file>

<file path=customXml/itemProps19.xml><?xml version="1.0" encoding="utf-8"?>
<ds:datastoreItem xmlns:ds="http://schemas.openxmlformats.org/officeDocument/2006/customXml" ds:itemID="{95D09E99-5F86-485A-892A-C1FC5B348EE2}"/>
</file>

<file path=customXml/itemProps20.xml><?xml version="1.0" encoding="utf-8"?>
<ds:datastoreItem xmlns:ds="http://schemas.openxmlformats.org/officeDocument/2006/customXml" ds:itemID="{BD02DDD8-480B-4724-A9DD-373E6EDDB8A2}"/>
</file>

<file path=customXml/itemProps21.xml><?xml version="1.0" encoding="utf-8"?>
<ds:datastoreItem xmlns:ds="http://schemas.openxmlformats.org/officeDocument/2006/customXml" ds:itemID="{F34C67F1-1370-4EE7-B5D9-593D322671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virubhashayan</dc:creator>
  <cp:keywords/>
  <dc:description/>
  <cp:lastModifiedBy/>
  <cp:revision/>
  <dcterms:created xsi:type="dcterms:W3CDTF">2024-06-06T14:36:06Z</dcterms:created>
  <dcterms:modified xsi:type="dcterms:W3CDTF">2026-03-27T08:32:05Z</dcterms:modified>
  <cp:category/>
  <cp:contentStatus/>
</cp:coreProperties>
</file>